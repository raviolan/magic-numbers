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K" sheetId="1" r:id="rId4"/>
    <sheet state="visible" name="400K" sheetId="2" r:id="rId5"/>
  </sheets>
  <definedNames/>
  <calcPr/>
  <extLst>
    <ext uri="GoogleSheetsCustomDataVersion2">
      <go:sheetsCustomData xmlns:go="http://customooxmlschemas.google.com/" r:id="rId6" roundtripDataChecksum="VA8D8WaxybvZklAmDwiNefM3zgHRuEyOZUP+O338kKU="/>
    </ext>
  </extLst>
</workbook>
</file>

<file path=xl/sharedStrings.xml><?xml version="1.0" encoding="utf-8"?>
<sst xmlns="http://schemas.openxmlformats.org/spreadsheetml/2006/main" count="106" uniqueCount="32">
  <si>
    <t>Valuta</t>
  </si>
  <si>
    <t>SEK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</si>
  <si>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</si>
  <si>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</si>
  <si>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</si>
  <si>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</si>
  <si>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</si>
  <si>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</si>
  <si>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</si>
  <si>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</si>
  <si>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</si>
  <si>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</si>
  <si>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</si>
  <si>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Meta (INKL FB)</t>
  </si>
  <si>
    <t>räckvidd/trafik</t>
  </si>
  <si>
    <t>Media spend TikTok</t>
  </si>
  <si>
    <t>Total</t>
  </si>
  <si>
    <t>Profiles</t>
  </si>
  <si>
    <t>Channel</t>
  </si>
  <si>
    <t>Follower size</t>
  </si>
  <si>
    <t>Activation</t>
  </si>
  <si>
    <t>Content rights</t>
  </si>
  <si>
    <t>Impressions. (K)</t>
  </si>
  <si>
    <t>CPM (profile)</t>
  </si>
  <si>
    <t>Profie fee</t>
  </si>
  <si>
    <t>Meta</t>
  </si>
  <si>
    <t>7-30 dagar</t>
  </si>
  <si>
    <t>TikTok</t>
  </si>
  <si>
    <t>inkl 7,5%</t>
  </si>
  <si>
    <t>Diff:</t>
  </si>
  <si>
    <t>TOTAL CAMPAIGN</t>
  </si>
  <si>
    <t>CPM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</si>
</sst>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 ### ##0"/>
    <numFmt numFmtId="165" formatCode="## ### ### ###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5" fontId="2" numFmtId="0" xfId="0" applyFont="1"/>
    <xf borderId="0" fillId="5" fontId="3" numFmtId="10" xfId="0" applyFont="1" applyNumberFormat="1"/>
    <xf borderId="0" fillId="5" fontId="3" numFmtId="0" xfId="0" applyFon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3" numFmtId="0" xfId="0" applyAlignment="1" applyFont="1">
      <alignment horizontal="right" vertical="bottom"/>
    </xf>
    <xf borderId="0" fillId="7" fontId="1" numFmtId="0" xfId="0" applyFill="1" applyFont="1"/>
    <xf borderId="0" fillId="0" fontId="1" numFmtId="0" xfId="0" applyFont="1"/>
    <xf borderId="0" fillId="7" fontId="3" numFmtId="0" xfId="0" applyFont="1"/>
    <xf borderId="0" fillId="0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1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5" numFmtId="0" xfId="0" applyFont="1"/>
    <xf borderId="0" fillId="0" fontId="6" numFmtId="0" xfId="0" applyFont="1"/>
    <xf borderId="0" fillId="0" fontId="4" numFmtId="165" xfId="0" applyFont="1" applyNumberFormat="1"/>
    <xf borderId="0" fillId="8" fontId="1" numFmtId="0" xfId="0" applyFill="1" applyFont="1"/>
    <xf borderId="0" fillId="8" fontId="3" numFmtId="0" xfId="0" applyFont="1"/>
    <xf borderId="0" fillId="8" fontId="2" numFmtId="0" xfId="0" applyFont="1"/>
    <xf borderId="0" fillId="8" fontId="7" numFmtId="0" xfId="0" applyFont="1"/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200000.0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74597.0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0.372985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>
        <f>H2*0.15</f>
        <v>30000</v>
      </c>
    </row>
    <row r="8" ht="15.75" customHeight="1">
      <c r="A8" s="15" t="s">
        <v>4</v>
      </c>
      <c r="B8" s="14"/>
      <c r="C8" s="14"/>
      <c r="D8" s="14"/>
      <c r="E8" s="14"/>
      <c r="F8" s="14"/>
      <c r="G8" s="14"/>
      <c r="H8" s="16">
        <f>H7/H2</f>
        <v>0.15</v>
      </c>
    </row>
    <row r="9" ht="15.75" customHeight="1">
      <c r="A9" s="14"/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4"/>
      <c r="K9" s="18"/>
      <c r="L9" s="18"/>
      <c r="M9" s="18"/>
      <c r="N9" s="18"/>
      <c r="O9" s="18"/>
      <c r="P9" s="18"/>
      <c r="Q9" s="18"/>
    </row>
    <row r="10" ht="15.75" customHeight="1">
      <c r="A10" s="19" t="s">
        <v>12</v>
      </c>
      <c r="B10" s="20">
        <v>6.0</v>
      </c>
      <c r="C10" s="19">
        <v>2000.0</v>
      </c>
      <c r="D10" s="21"/>
      <c r="E10" s="21"/>
      <c r="F10" s="21"/>
      <c r="G10" s="21"/>
      <c r="H10" s="21">
        <f>B10*C10</f>
        <v>12000</v>
      </c>
      <c r="K10" s="18"/>
      <c r="L10" s="18"/>
      <c r="M10" s="18"/>
      <c r="N10" s="18"/>
      <c r="O10" s="18"/>
      <c r="P10" s="18"/>
      <c r="Q10" s="18"/>
    </row>
    <row r="11" ht="15.75" customHeight="1">
      <c r="A11" s="20" t="s">
        <v>13</v>
      </c>
      <c r="B11" s="21"/>
      <c r="C11" s="21"/>
      <c r="D11" s="19" t="s">
        <v>14</v>
      </c>
      <c r="E11" s="22">
        <f t="shared" ref="E11:E13" si="1">F11*0.25</f>
        <v>153000</v>
      </c>
      <c r="F11" s="22">
        <f t="shared" ref="F11:F12" si="2">sum(1000*H11)/G11*0.85</f>
        <v>612000</v>
      </c>
      <c r="G11" s="23">
        <v>20.0</v>
      </c>
      <c r="H11" s="24">
        <f>(H7-H10)*0.8</f>
        <v>14400</v>
      </c>
      <c r="K11" s="18"/>
      <c r="L11" s="18"/>
      <c r="M11" s="18"/>
      <c r="N11" s="18"/>
      <c r="O11" s="18"/>
      <c r="P11" s="18"/>
      <c r="Q11" s="18"/>
    </row>
    <row r="12" ht="15.75" customHeight="1">
      <c r="A12" s="19" t="s">
        <v>15</v>
      </c>
      <c r="B12" s="21"/>
      <c r="C12" s="21"/>
      <c r="D12" s="19" t="s">
        <v>14</v>
      </c>
      <c r="E12" s="22">
        <f t="shared" si="1"/>
        <v>51000</v>
      </c>
      <c r="F12" s="22">
        <f t="shared" si="2"/>
        <v>204000</v>
      </c>
      <c r="G12" s="23">
        <v>15.0</v>
      </c>
      <c r="H12" s="24">
        <f>(H7-H10)*0.2</f>
        <v>3600</v>
      </c>
      <c r="I12" s="25"/>
      <c r="K12" s="18"/>
      <c r="L12" s="18"/>
      <c r="M12" s="18"/>
      <c r="N12" s="18"/>
      <c r="O12" s="18"/>
      <c r="P12" s="18"/>
      <c r="Q12" s="18"/>
    </row>
    <row r="13" ht="15.75" customHeight="1">
      <c r="A13" s="14" t="s">
        <v>16</v>
      </c>
      <c r="B13" s="14"/>
      <c r="C13" s="14"/>
      <c r="D13" s="14"/>
      <c r="E13" s="26">
        <f t="shared" si="1"/>
        <v>204</v>
      </c>
      <c r="F13" s="27">
        <f>sum(F10:F12)/1000</f>
        <v>816</v>
      </c>
      <c r="G13" s="28"/>
      <c r="H13" s="29">
        <f>sum(H10:H12)</f>
        <v>30000</v>
      </c>
      <c r="I13" s="30"/>
      <c r="K13" s="18"/>
      <c r="L13" s="18"/>
      <c r="M13" s="18"/>
      <c r="N13" s="18"/>
      <c r="O13" s="18"/>
      <c r="P13" s="18"/>
      <c r="Q13" s="18"/>
    </row>
    <row r="14" ht="15.75" customHeight="1">
      <c r="A14" s="17" t="s">
        <v>4</v>
      </c>
      <c r="B14" s="14"/>
      <c r="C14" s="14"/>
      <c r="D14" s="14"/>
      <c r="E14" s="31"/>
      <c r="F14" s="32"/>
      <c r="G14" s="28"/>
      <c r="H14" s="33">
        <f>H13/H2</f>
        <v>0.15</v>
      </c>
      <c r="I14" s="30"/>
      <c r="K14" s="18"/>
      <c r="L14" s="18"/>
      <c r="M14" s="18"/>
      <c r="N14" s="18"/>
      <c r="O14" s="18"/>
      <c r="P14" s="18"/>
      <c r="Q14" s="18"/>
    </row>
    <row r="15" ht="15.75" customHeight="1">
      <c r="I15" s="18"/>
      <c r="K15" s="18"/>
      <c r="L15" s="18"/>
      <c r="M15" s="18"/>
      <c r="N15" s="18"/>
      <c r="O15" s="18"/>
      <c r="P15" s="18"/>
      <c r="Q15" s="18"/>
    </row>
    <row r="16" ht="15.75" customHeight="1">
      <c r="A16" s="34" t="s">
        <v>17</v>
      </c>
      <c r="B16" s="34"/>
      <c r="C16" s="34"/>
      <c r="D16" s="34"/>
      <c r="E16" s="34"/>
      <c r="F16" s="34"/>
      <c r="G16" s="34"/>
      <c r="H16" s="34"/>
      <c r="I16" s="35"/>
      <c r="K16" s="18"/>
      <c r="L16" s="18"/>
      <c r="M16" s="18"/>
      <c r="N16" s="18"/>
      <c r="O16" s="18"/>
      <c r="P16" s="18"/>
      <c r="Q16" s="18"/>
    </row>
    <row r="17" ht="15.75" customHeight="1">
      <c r="A17" s="36" t="s">
        <v>18</v>
      </c>
      <c r="B17" s="36" t="s">
        <v>19</v>
      </c>
      <c r="C17" s="36" t="s">
        <v>20</v>
      </c>
      <c r="D17" s="36" t="s">
        <v>21</v>
      </c>
      <c r="E17" s="36" t="s">
        <v>9</v>
      </c>
      <c r="F17" s="36" t="s">
        <v>22</v>
      </c>
      <c r="G17" s="36" t="s">
        <v>23</v>
      </c>
      <c r="H17" s="36" t="s">
        <v>24</v>
      </c>
      <c r="I17" s="35"/>
      <c r="K17" s="18"/>
      <c r="L17" s="18"/>
      <c r="M17" s="18"/>
      <c r="N17" s="18"/>
      <c r="O17" s="18"/>
      <c r="P17" s="18"/>
      <c r="Q17" s="18"/>
    </row>
    <row r="18" ht="15.75" customHeight="1">
      <c r="A18" s="37" t="s">
        <v>25</v>
      </c>
      <c r="B18" s="20">
        <v>15.0</v>
      </c>
      <c r="C18" s="20">
        <v>1.0</v>
      </c>
      <c r="D18" s="38" t="s">
        <v>26</v>
      </c>
      <c r="E18" s="21">
        <f t="shared" ref="E18:E23" si="3">F18*0.6</f>
        <v>6</v>
      </c>
      <c r="F18" s="19">
        <f t="shared" ref="F18:F22" si="4">MROUND(B18*0.7,5)</f>
        <v>10</v>
      </c>
      <c r="G18" s="20">
        <v>600.0</v>
      </c>
      <c r="H18" s="21">
        <f t="shared" ref="H18:H23" si="5">F18*G18</f>
        <v>6000</v>
      </c>
      <c r="K18" s="18"/>
      <c r="L18" s="30"/>
      <c r="M18" s="30"/>
      <c r="N18" s="7"/>
      <c r="O18" s="25"/>
      <c r="P18" s="30"/>
      <c r="Q18" s="18"/>
    </row>
    <row r="19" ht="15.75" customHeight="1">
      <c r="A19" s="37" t="s">
        <v>25</v>
      </c>
      <c r="B19" s="20">
        <v>15.0</v>
      </c>
      <c r="C19" s="20">
        <v>1.0</v>
      </c>
      <c r="D19" s="38" t="s">
        <v>26</v>
      </c>
      <c r="E19" s="21">
        <f t="shared" si="3"/>
        <v>6</v>
      </c>
      <c r="F19" s="19">
        <f t="shared" si="4"/>
        <v>10</v>
      </c>
      <c r="G19" s="20">
        <v>600.0</v>
      </c>
      <c r="H19" s="21">
        <f t="shared" si="5"/>
        <v>6000</v>
      </c>
      <c r="K19" s="18"/>
      <c r="L19" s="39"/>
      <c r="M19" s="39"/>
      <c r="N19" s="23"/>
      <c r="O19" s="25"/>
      <c r="P19" s="25"/>
      <c r="Q19" s="18"/>
    </row>
    <row r="20" ht="15.75" customHeight="1">
      <c r="A20" s="37" t="s">
        <v>25</v>
      </c>
      <c r="B20" s="20">
        <v>35.0</v>
      </c>
      <c r="C20" s="20">
        <v>1.0</v>
      </c>
      <c r="D20" s="38" t="s">
        <v>26</v>
      </c>
      <c r="E20" s="21">
        <f t="shared" si="3"/>
        <v>15</v>
      </c>
      <c r="F20" s="19">
        <f t="shared" si="4"/>
        <v>25</v>
      </c>
      <c r="G20" s="20">
        <v>600.0</v>
      </c>
      <c r="H20" s="21">
        <f t="shared" si="5"/>
        <v>15000</v>
      </c>
      <c r="K20" s="18"/>
      <c r="L20" s="39"/>
      <c r="M20" s="39"/>
      <c r="N20" s="23"/>
      <c r="O20" s="25"/>
      <c r="P20" s="25"/>
      <c r="Q20" s="18"/>
    </row>
    <row r="21" ht="15.75" customHeight="1">
      <c r="A21" s="37" t="s">
        <v>25</v>
      </c>
      <c r="B21" s="20">
        <v>35.0</v>
      </c>
      <c r="C21" s="20">
        <v>1.0</v>
      </c>
      <c r="D21" s="38" t="s">
        <v>26</v>
      </c>
      <c r="E21" s="21">
        <f t="shared" si="3"/>
        <v>15</v>
      </c>
      <c r="F21" s="19">
        <f t="shared" si="4"/>
        <v>25</v>
      </c>
      <c r="G21" s="20">
        <v>600.0</v>
      </c>
      <c r="H21" s="21">
        <f t="shared" si="5"/>
        <v>15000</v>
      </c>
      <c r="K21" s="18"/>
      <c r="L21" s="40"/>
      <c r="M21" s="39"/>
      <c r="N21" s="7"/>
      <c r="O21" s="25"/>
      <c r="P21" s="30"/>
      <c r="Q21" s="18"/>
    </row>
    <row r="22" ht="15.75" customHeight="1">
      <c r="A22" s="37" t="s">
        <v>25</v>
      </c>
      <c r="B22" s="20">
        <v>75.0</v>
      </c>
      <c r="C22" s="20">
        <v>1.0</v>
      </c>
      <c r="D22" s="38" t="s">
        <v>26</v>
      </c>
      <c r="E22" s="21">
        <f t="shared" si="3"/>
        <v>33</v>
      </c>
      <c r="F22" s="19">
        <f t="shared" si="4"/>
        <v>55</v>
      </c>
      <c r="G22" s="20">
        <v>600.0</v>
      </c>
      <c r="H22" s="21">
        <f t="shared" si="5"/>
        <v>33000</v>
      </c>
      <c r="J22" s="4"/>
      <c r="K22" s="41"/>
      <c r="L22" s="25"/>
      <c r="M22" s="18"/>
      <c r="N22" s="18"/>
      <c r="O22" s="18"/>
      <c r="P22" s="18"/>
      <c r="Q22" s="18"/>
    </row>
    <row r="23" ht="15.75" customHeight="1">
      <c r="A23" s="37" t="s">
        <v>27</v>
      </c>
      <c r="B23" s="20">
        <v>35.0</v>
      </c>
      <c r="C23" s="20">
        <v>1.0</v>
      </c>
      <c r="D23" s="38" t="s">
        <v>26</v>
      </c>
      <c r="E23" s="21">
        <f t="shared" si="3"/>
        <v>18</v>
      </c>
      <c r="F23" s="19">
        <f>MROUND(B23*0.8,5)</f>
        <v>30</v>
      </c>
      <c r="G23" s="20">
        <v>450.0</v>
      </c>
      <c r="H23" s="21">
        <f t="shared" si="5"/>
        <v>13500</v>
      </c>
      <c r="J23" s="4"/>
      <c r="K23" s="30"/>
      <c r="L23" s="30"/>
      <c r="M23" s="18"/>
      <c r="N23" s="18"/>
      <c r="O23" s="18"/>
      <c r="P23" s="18"/>
      <c r="Q23" s="18"/>
    </row>
    <row r="24" ht="15.75" customHeight="1">
      <c r="A24" s="34" t="str">
        <f>"Total: "&amp;COUNTA(A18:A23)</f>
        <v>Total: 6</v>
      </c>
      <c r="B24" s="34"/>
      <c r="C24" s="34"/>
      <c r="D24" s="34"/>
      <c r="E24" s="34">
        <f>sum(E18:E23)</f>
        <v>93</v>
      </c>
      <c r="F24" s="34">
        <f>SUM(F18:F23)</f>
        <v>155</v>
      </c>
      <c r="G24" s="34"/>
      <c r="H24" s="34">
        <f>sum(H18:H23)</f>
        <v>88500</v>
      </c>
      <c r="I24" s="42" t="s">
        <v>28</v>
      </c>
      <c r="J24" s="4"/>
      <c r="K24" s="30"/>
      <c r="L24" s="30"/>
      <c r="M24" s="18"/>
      <c r="N24" s="18"/>
      <c r="O24" s="18"/>
      <c r="P24" s="18"/>
      <c r="Q24" s="18"/>
    </row>
    <row r="25" ht="15.75" customHeight="1">
      <c r="H25" s="43">
        <f>I25*0.925</f>
        <v>88247.775</v>
      </c>
      <c r="I25" s="44">
        <f>H2-H4-H7</f>
        <v>95403</v>
      </c>
      <c r="J25" s="4"/>
      <c r="K25" s="30"/>
      <c r="L25" s="30"/>
      <c r="M25" s="18"/>
      <c r="N25" s="18"/>
      <c r="O25" s="18"/>
      <c r="P25" s="18"/>
      <c r="Q25" s="18"/>
    </row>
    <row r="26" ht="15.75" customHeight="1">
      <c r="G26" s="37" t="s">
        <v>29</v>
      </c>
      <c r="H26" s="45">
        <f>H25-H24</f>
        <v>-252.225</v>
      </c>
      <c r="J26" s="4"/>
      <c r="K26" s="4"/>
      <c r="L26" s="4"/>
    </row>
    <row r="27" ht="15.75" customHeight="1">
      <c r="A27" s="46" t="s">
        <v>30</v>
      </c>
      <c r="B27" s="46"/>
      <c r="C27" s="46"/>
      <c r="D27" s="46"/>
      <c r="E27" s="46"/>
      <c r="F27" s="47"/>
      <c r="G27" s="47"/>
      <c r="H27" s="48"/>
      <c r="J27" s="4"/>
      <c r="K27" s="4"/>
      <c r="L27" s="4"/>
    </row>
    <row r="28" ht="15.75" customHeight="1">
      <c r="A28" s="46"/>
      <c r="B28" s="46"/>
      <c r="C28" s="46"/>
      <c r="D28" s="46"/>
      <c r="E28" s="47" t="s">
        <v>9</v>
      </c>
      <c r="F28" s="47" t="s">
        <v>10</v>
      </c>
      <c r="G28" s="47" t="s">
        <v>31</v>
      </c>
      <c r="H28" s="48"/>
      <c r="J28" s="4"/>
      <c r="K28" s="4"/>
      <c r="L28" s="4"/>
    </row>
    <row r="29" ht="15.75" customHeight="1">
      <c r="A29" s="46"/>
      <c r="B29" s="46"/>
      <c r="C29" s="46"/>
      <c r="D29" s="46"/>
      <c r="E29" s="46">
        <f t="shared" ref="E29:F29" si="6">(E13+E24)*1000</f>
        <v>297000</v>
      </c>
      <c r="F29" s="49">
        <f t="shared" si="6"/>
        <v>971000</v>
      </c>
      <c r="G29" s="49">
        <f>(H2/F29)*1000</f>
        <v>205.9732235</v>
      </c>
      <c r="H29" s="48"/>
      <c r="J29" s="4"/>
      <c r="K29" s="4"/>
      <c r="L29" s="4"/>
    </row>
    <row r="30" ht="15.75" customHeight="1">
      <c r="A30" s="6"/>
      <c r="B30" s="4"/>
      <c r="C30" s="4"/>
      <c r="D30" s="4"/>
      <c r="E30" s="4"/>
      <c r="F30" s="4"/>
      <c r="G30" s="50"/>
      <c r="H30" s="24"/>
      <c r="I30" s="4"/>
      <c r="J30" s="4"/>
      <c r="K30" s="4"/>
      <c r="L30" s="4"/>
    </row>
    <row r="31" ht="15.75" customHeight="1">
      <c r="A31" s="4"/>
      <c r="B31" s="51"/>
      <c r="C31" s="51"/>
      <c r="D31" s="51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B35" s="4"/>
      <c r="C35" s="4"/>
      <c r="D35" s="4"/>
      <c r="E35" s="6"/>
      <c r="F35" s="6"/>
      <c r="G35" s="6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6"/>
      <c r="B39" s="24"/>
      <c r="C39" s="24"/>
      <c r="D39" s="24"/>
      <c r="E39" s="4"/>
      <c r="F39" s="4"/>
      <c r="G39" s="4"/>
      <c r="H39" s="4"/>
      <c r="I39" s="4"/>
      <c r="J39" s="4"/>
      <c r="K39" s="4"/>
      <c r="L39" s="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400000.0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134096.0</v>
      </c>
      <c r="I4" s="52">
        <f>H2*0.3</f>
        <v>120000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0.33524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>
        <f>H2*0.15</f>
        <v>60000</v>
      </c>
      <c r="I7" s="52">
        <f>H2*0.15</f>
        <v>60000</v>
      </c>
    </row>
    <row r="8" ht="15.75" customHeight="1">
      <c r="A8" s="15" t="s">
        <v>4</v>
      </c>
      <c r="B8" s="14"/>
      <c r="C8" s="14"/>
      <c r="D8" s="14"/>
      <c r="E8" s="14"/>
      <c r="F8" s="14"/>
      <c r="G8" s="14"/>
      <c r="H8" s="16">
        <f>H7/H2</f>
        <v>0.15</v>
      </c>
    </row>
    <row r="9" ht="15.75" customHeight="1">
      <c r="A9" s="14"/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4"/>
      <c r="K9" s="18"/>
      <c r="L9" s="18"/>
      <c r="M9" s="18"/>
      <c r="N9" s="18"/>
      <c r="O9" s="18"/>
      <c r="P9" s="18"/>
      <c r="Q9" s="18"/>
    </row>
    <row r="10" ht="15.75" customHeight="1">
      <c r="A10" s="19" t="s">
        <v>12</v>
      </c>
      <c r="B10" s="20">
        <v>10.0</v>
      </c>
      <c r="C10" s="19">
        <v>2000.0</v>
      </c>
      <c r="D10" s="21"/>
      <c r="E10" s="21"/>
      <c r="F10" s="21"/>
      <c r="G10" s="21"/>
      <c r="H10" s="21">
        <f>B10*C10</f>
        <v>20000</v>
      </c>
      <c r="K10" s="18"/>
      <c r="L10" s="18"/>
      <c r="M10" s="18"/>
      <c r="N10" s="18"/>
      <c r="O10" s="18"/>
      <c r="P10" s="18"/>
      <c r="Q10" s="18"/>
    </row>
    <row r="11" ht="15.75" customHeight="1">
      <c r="A11" s="20" t="s">
        <v>13</v>
      </c>
      <c r="B11" s="21"/>
      <c r="C11" s="21"/>
      <c r="D11" s="19" t="s">
        <v>14</v>
      </c>
      <c r="E11" s="22">
        <f t="shared" ref="E11:E13" si="1">F11*0.25</f>
        <v>340000</v>
      </c>
      <c r="F11" s="22">
        <f t="shared" ref="F11:F12" si="2">sum(1000*H11)/G11*0.85</f>
        <v>1360000</v>
      </c>
      <c r="G11" s="23">
        <v>20.0</v>
      </c>
      <c r="H11" s="52">
        <f>(H7-H10)*0.8</f>
        <v>32000</v>
      </c>
      <c r="K11" s="18"/>
      <c r="L11" s="18"/>
      <c r="M11" s="18"/>
      <c r="N11" s="18"/>
      <c r="O11" s="18"/>
      <c r="P11" s="18"/>
      <c r="Q11" s="18"/>
    </row>
    <row r="12" ht="15.75" customHeight="1">
      <c r="A12" s="19" t="s">
        <v>15</v>
      </c>
      <c r="B12" s="21"/>
      <c r="C12" s="21"/>
      <c r="D12" s="19" t="s">
        <v>14</v>
      </c>
      <c r="E12" s="22">
        <f t="shared" si="1"/>
        <v>113333.3333</v>
      </c>
      <c r="F12" s="22">
        <f t="shared" si="2"/>
        <v>453333.3333</v>
      </c>
      <c r="G12" s="23">
        <v>15.0</v>
      </c>
      <c r="H12" s="25">
        <f>(H7-H10)*0.2</f>
        <v>8000</v>
      </c>
      <c r="K12" s="18"/>
      <c r="L12" s="18"/>
      <c r="M12" s="18"/>
      <c r="N12" s="18"/>
      <c r="O12" s="18"/>
      <c r="P12" s="18"/>
      <c r="Q12" s="18"/>
    </row>
    <row r="13" ht="15.75" customHeight="1">
      <c r="A13" s="14" t="s">
        <v>16</v>
      </c>
      <c r="B13" s="14"/>
      <c r="C13" s="14"/>
      <c r="D13" s="14"/>
      <c r="E13" s="26">
        <f t="shared" si="1"/>
        <v>453.3333333</v>
      </c>
      <c r="F13" s="27">
        <f>sum(F10:F12)/1000</f>
        <v>1813.333333</v>
      </c>
      <c r="G13" s="28"/>
      <c r="H13" s="29">
        <f>sum(H10:H12)</f>
        <v>60000</v>
      </c>
      <c r="I13" s="30"/>
      <c r="K13" s="18"/>
      <c r="L13" s="18"/>
      <c r="M13" s="18"/>
      <c r="N13" s="18"/>
      <c r="O13" s="18"/>
      <c r="P13" s="18"/>
      <c r="Q13" s="18"/>
    </row>
    <row r="14" ht="15.75" customHeight="1">
      <c r="A14" s="17" t="s">
        <v>4</v>
      </c>
      <c r="B14" s="14"/>
      <c r="C14" s="14"/>
      <c r="D14" s="14"/>
      <c r="E14" s="31"/>
      <c r="F14" s="32"/>
      <c r="G14" s="28"/>
      <c r="H14" s="33">
        <f>H13/H2</f>
        <v>0.15</v>
      </c>
      <c r="I14" s="30"/>
      <c r="K14" s="18"/>
      <c r="L14" s="18"/>
      <c r="M14" s="18"/>
      <c r="N14" s="18"/>
      <c r="O14" s="18"/>
      <c r="P14" s="18"/>
      <c r="Q14" s="18"/>
    </row>
    <row r="15" ht="15.75" customHeight="1">
      <c r="I15" s="18"/>
      <c r="K15" s="18"/>
      <c r="L15" s="18"/>
      <c r="M15" s="18"/>
      <c r="N15" s="18"/>
      <c r="O15" s="18"/>
      <c r="P15" s="18"/>
      <c r="Q15" s="18"/>
    </row>
    <row r="16" ht="15.75" customHeight="1">
      <c r="A16" s="34" t="s">
        <v>17</v>
      </c>
      <c r="B16" s="34"/>
      <c r="C16" s="34"/>
      <c r="D16" s="34"/>
      <c r="E16" s="34"/>
      <c r="F16" s="34"/>
      <c r="G16" s="34"/>
      <c r="H16" s="34"/>
      <c r="I16" s="35"/>
      <c r="K16" s="18"/>
      <c r="L16" s="18"/>
      <c r="M16" s="18"/>
      <c r="N16" s="18"/>
      <c r="O16" s="18"/>
      <c r="P16" s="18"/>
      <c r="Q16" s="18"/>
    </row>
    <row r="17" ht="15.75" customHeight="1">
      <c r="A17" s="36" t="s">
        <v>18</v>
      </c>
      <c r="B17" s="36" t="s">
        <v>19</v>
      </c>
      <c r="C17" s="36" t="s">
        <v>20</v>
      </c>
      <c r="D17" s="36" t="s">
        <v>21</v>
      </c>
      <c r="E17" s="36" t="s">
        <v>9</v>
      </c>
      <c r="F17" s="36" t="s">
        <v>22</v>
      </c>
      <c r="G17" s="36" t="s">
        <v>23</v>
      </c>
      <c r="H17" s="36" t="s">
        <v>24</v>
      </c>
      <c r="I17" s="35"/>
      <c r="K17" s="18"/>
      <c r="L17" s="18"/>
      <c r="M17" s="18"/>
      <c r="N17" s="18"/>
      <c r="O17" s="18"/>
      <c r="P17" s="18"/>
      <c r="Q17" s="18"/>
    </row>
    <row r="18" ht="15.75" customHeight="1">
      <c r="A18" s="37" t="s">
        <v>25</v>
      </c>
      <c r="B18" s="20">
        <v>15.0</v>
      </c>
      <c r="C18" s="20">
        <v>1.0</v>
      </c>
      <c r="D18" s="38" t="s">
        <v>26</v>
      </c>
      <c r="E18" s="21">
        <f t="shared" ref="E18:E29" si="3">F18*0.6</f>
        <v>6</v>
      </c>
      <c r="F18" s="19">
        <f t="shared" ref="F18:F27" si="4">MROUND(B18*0.7,5)</f>
        <v>10</v>
      </c>
      <c r="G18" s="20">
        <v>600.0</v>
      </c>
      <c r="H18" s="21">
        <f t="shared" ref="H18:H29" si="5">F18*G18</f>
        <v>6000</v>
      </c>
      <c r="K18" s="18"/>
      <c r="L18" s="30"/>
      <c r="M18" s="30"/>
      <c r="N18" s="7"/>
      <c r="O18" s="25"/>
      <c r="P18" s="30"/>
      <c r="Q18" s="18"/>
    </row>
    <row r="19" ht="15.75" customHeight="1">
      <c r="A19" s="37" t="s">
        <v>25</v>
      </c>
      <c r="B19" s="20">
        <v>15.0</v>
      </c>
      <c r="C19" s="20">
        <v>1.0</v>
      </c>
      <c r="D19" s="38" t="s">
        <v>26</v>
      </c>
      <c r="E19" s="21">
        <f t="shared" si="3"/>
        <v>6</v>
      </c>
      <c r="F19" s="19">
        <f t="shared" si="4"/>
        <v>10</v>
      </c>
      <c r="G19" s="20">
        <v>600.0</v>
      </c>
      <c r="H19" s="21">
        <f t="shared" si="5"/>
        <v>6000</v>
      </c>
      <c r="K19" s="18"/>
      <c r="L19" s="39"/>
      <c r="M19" s="39"/>
      <c r="N19" s="23"/>
      <c r="O19" s="25"/>
      <c r="P19" s="25"/>
      <c r="Q19" s="18"/>
    </row>
    <row r="20" ht="15.75" customHeight="1">
      <c r="A20" s="37" t="s">
        <v>25</v>
      </c>
      <c r="B20" s="20">
        <v>15.0</v>
      </c>
      <c r="C20" s="20">
        <v>1.0</v>
      </c>
      <c r="D20" s="38" t="s">
        <v>26</v>
      </c>
      <c r="E20" s="21">
        <f t="shared" si="3"/>
        <v>6</v>
      </c>
      <c r="F20" s="19">
        <f t="shared" si="4"/>
        <v>10</v>
      </c>
      <c r="G20" s="20">
        <v>600.0</v>
      </c>
      <c r="H20" s="21">
        <f t="shared" si="5"/>
        <v>6000</v>
      </c>
      <c r="K20" s="18"/>
      <c r="L20" s="39"/>
      <c r="M20" s="39"/>
      <c r="N20" s="23"/>
      <c r="O20" s="25"/>
      <c r="P20" s="25"/>
      <c r="Q20" s="18"/>
    </row>
    <row r="21" ht="15.75" customHeight="1">
      <c r="A21" s="37" t="s">
        <v>25</v>
      </c>
      <c r="B21" s="20">
        <v>15.0</v>
      </c>
      <c r="C21" s="20">
        <v>1.0</v>
      </c>
      <c r="D21" s="38" t="s">
        <v>26</v>
      </c>
      <c r="E21" s="21">
        <f t="shared" si="3"/>
        <v>6</v>
      </c>
      <c r="F21" s="19">
        <f t="shared" si="4"/>
        <v>10</v>
      </c>
      <c r="G21" s="20">
        <v>600.0</v>
      </c>
      <c r="H21" s="21">
        <f t="shared" si="5"/>
        <v>6000</v>
      </c>
      <c r="K21" s="18"/>
      <c r="L21" s="40"/>
      <c r="M21" s="39"/>
      <c r="N21" s="7"/>
      <c r="O21" s="25"/>
      <c r="P21" s="30"/>
      <c r="Q21" s="18"/>
    </row>
    <row r="22" ht="15.75" customHeight="1">
      <c r="A22" s="53" t="s">
        <v>25</v>
      </c>
      <c r="B22" s="54">
        <v>35.0</v>
      </c>
      <c r="C22" s="54">
        <v>1.0</v>
      </c>
      <c r="D22" s="55" t="s">
        <v>26</v>
      </c>
      <c r="E22" s="56">
        <f t="shared" si="3"/>
        <v>15</v>
      </c>
      <c r="F22" s="24">
        <f t="shared" si="4"/>
        <v>25</v>
      </c>
      <c r="G22" s="54">
        <v>600.0</v>
      </c>
      <c r="H22" s="56">
        <f t="shared" si="5"/>
        <v>15000</v>
      </c>
      <c r="I22" s="57"/>
      <c r="J22" s="57"/>
      <c r="K22" s="30"/>
      <c r="L22" s="40"/>
      <c r="M22" s="40"/>
      <c r="N22" s="7"/>
      <c r="O22" s="30"/>
      <c r="P22" s="30"/>
      <c r="Q22" s="30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</row>
    <row r="23" ht="15.75" customHeight="1">
      <c r="A23" s="37" t="s">
        <v>25</v>
      </c>
      <c r="B23" s="20">
        <v>35.0</v>
      </c>
      <c r="C23" s="20">
        <v>1.0</v>
      </c>
      <c r="D23" s="38" t="s">
        <v>26</v>
      </c>
      <c r="E23" s="21">
        <f t="shared" si="3"/>
        <v>15</v>
      </c>
      <c r="F23" s="19">
        <f t="shared" si="4"/>
        <v>25</v>
      </c>
      <c r="G23" s="20">
        <v>600.0</v>
      </c>
      <c r="H23" s="21">
        <f t="shared" si="5"/>
        <v>15000</v>
      </c>
      <c r="K23" s="18"/>
      <c r="L23" s="40"/>
      <c r="M23" s="39"/>
      <c r="N23" s="7"/>
      <c r="O23" s="25"/>
      <c r="P23" s="30"/>
      <c r="Q23" s="18"/>
    </row>
    <row r="24" ht="15.75" customHeight="1">
      <c r="A24" s="37" t="s">
        <v>25</v>
      </c>
      <c r="B24" s="20">
        <v>35.0</v>
      </c>
      <c r="C24" s="20">
        <v>1.0</v>
      </c>
      <c r="D24" s="38" t="s">
        <v>26</v>
      </c>
      <c r="E24" s="21">
        <f t="shared" si="3"/>
        <v>15</v>
      </c>
      <c r="F24" s="19">
        <f t="shared" si="4"/>
        <v>25</v>
      </c>
      <c r="G24" s="20">
        <v>600.0</v>
      </c>
      <c r="H24" s="21">
        <f t="shared" si="5"/>
        <v>15000</v>
      </c>
      <c r="J24" s="4"/>
      <c r="K24" s="41"/>
      <c r="L24" s="25"/>
      <c r="M24" s="18"/>
      <c r="N24" s="18"/>
      <c r="O24" s="18"/>
      <c r="P24" s="18"/>
      <c r="Q24" s="18"/>
    </row>
    <row r="25" ht="15.75" customHeight="1">
      <c r="A25" s="37" t="s">
        <v>25</v>
      </c>
      <c r="B25" s="20">
        <v>35.0</v>
      </c>
      <c r="C25" s="20">
        <v>1.0</v>
      </c>
      <c r="D25" s="38" t="s">
        <v>26</v>
      </c>
      <c r="E25" s="21">
        <f t="shared" si="3"/>
        <v>15</v>
      </c>
      <c r="F25" s="19">
        <f t="shared" si="4"/>
        <v>25</v>
      </c>
      <c r="G25" s="20">
        <v>600.0</v>
      </c>
      <c r="H25" s="21">
        <f t="shared" si="5"/>
        <v>15000</v>
      </c>
      <c r="J25" s="4"/>
      <c r="K25" s="41"/>
      <c r="L25" s="25"/>
      <c r="M25" s="18"/>
      <c r="N25" s="18"/>
      <c r="O25" s="18"/>
      <c r="P25" s="18"/>
      <c r="Q25" s="18"/>
    </row>
    <row r="26" ht="15.75" customHeight="1">
      <c r="A26" s="37" t="s">
        <v>25</v>
      </c>
      <c r="B26" s="20">
        <v>75.0</v>
      </c>
      <c r="C26" s="20">
        <v>1.0</v>
      </c>
      <c r="D26" s="38" t="s">
        <v>26</v>
      </c>
      <c r="E26" s="21">
        <f t="shared" si="3"/>
        <v>33</v>
      </c>
      <c r="F26" s="19">
        <f t="shared" si="4"/>
        <v>55</v>
      </c>
      <c r="G26" s="20">
        <v>600.0</v>
      </c>
      <c r="H26" s="21">
        <f t="shared" si="5"/>
        <v>33000</v>
      </c>
      <c r="J26" s="4"/>
      <c r="K26" s="41"/>
      <c r="L26" s="25"/>
      <c r="M26" s="18"/>
      <c r="N26" s="18"/>
      <c r="O26" s="18"/>
      <c r="P26" s="18"/>
      <c r="Q26" s="18"/>
    </row>
    <row r="27" ht="15.75" customHeight="1">
      <c r="A27" s="37" t="s">
        <v>25</v>
      </c>
      <c r="B27" s="20">
        <v>75.0</v>
      </c>
      <c r="C27" s="20">
        <v>1.0</v>
      </c>
      <c r="D27" s="38" t="s">
        <v>26</v>
      </c>
      <c r="E27" s="21">
        <f t="shared" si="3"/>
        <v>33</v>
      </c>
      <c r="F27" s="19">
        <f t="shared" si="4"/>
        <v>55</v>
      </c>
      <c r="G27" s="20">
        <v>600.0</v>
      </c>
      <c r="H27" s="21">
        <f t="shared" si="5"/>
        <v>33000</v>
      </c>
      <c r="J27" s="4"/>
      <c r="K27" s="41"/>
      <c r="L27" s="25"/>
      <c r="M27" s="18"/>
      <c r="N27" s="18"/>
      <c r="O27" s="18"/>
      <c r="P27" s="18"/>
      <c r="Q27" s="18"/>
    </row>
    <row r="28" ht="15.75" customHeight="1">
      <c r="A28" s="37" t="s">
        <v>27</v>
      </c>
      <c r="B28" s="20">
        <v>35.0</v>
      </c>
      <c r="C28" s="20">
        <v>1.0</v>
      </c>
      <c r="D28" s="38" t="s">
        <v>26</v>
      </c>
      <c r="E28" s="21">
        <f t="shared" si="3"/>
        <v>18</v>
      </c>
      <c r="F28" s="19">
        <f t="shared" ref="F28:F29" si="6">MROUND(B28*0.8,5)</f>
        <v>30</v>
      </c>
      <c r="G28" s="20">
        <v>450.0</v>
      </c>
      <c r="H28" s="21">
        <f t="shared" si="5"/>
        <v>13500</v>
      </c>
      <c r="J28" s="4"/>
      <c r="K28" s="30"/>
      <c r="L28" s="30"/>
      <c r="M28" s="18"/>
      <c r="N28" s="18"/>
      <c r="O28" s="18"/>
      <c r="P28" s="18"/>
      <c r="Q28" s="18"/>
    </row>
    <row r="29" ht="15.75" customHeight="1">
      <c r="A29" s="37" t="s">
        <v>27</v>
      </c>
      <c r="B29" s="20">
        <v>75.0</v>
      </c>
      <c r="C29" s="20">
        <v>1.0</v>
      </c>
      <c r="D29" s="38" t="s">
        <v>26</v>
      </c>
      <c r="E29" s="21">
        <f t="shared" si="3"/>
        <v>36</v>
      </c>
      <c r="F29" s="19">
        <f t="shared" si="6"/>
        <v>60</v>
      </c>
      <c r="G29" s="20">
        <v>450.0</v>
      </c>
      <c r="H29" s="21">
        <f t="shared" si="5"/>
        <v>27000</v>
      </c>
      <c r="J29" s="4"/>
      <c r="K29" s="30"/>
      <c r="L29" s="30"/>
      <c r="M29" s="18"/>
      <c r="N29" s="18"/>
      <c r="O29" s="18"/>
      <c r="P29" s="18"/>
      <c r="Q29" s="18"/>
    </row>
    <row r="30" ht="15.75" customHeight="1">
      <c r="A30" s="34" t="str">
        <f>"Total: "&amp;COUNTA(A18:A29)</f>
        <v>Total: 12</v>
      </c>
      <c r="B30" s="34"/>
      <c r="C30" s="34"/>
      <c r="D30" s="34"/>
      <c r="E30" s="34">
        <f>sum(E18:E29)</f>
        <v>204</v>
      </c>
      <c r="F30" s="34">
        <f>SUM(F18:F29)</f>
        <v>340</v>
      </c>
      <c r="G30" s="34"/>
      <c r="H30" s="34">
        <f>sum(H18:H29)</f>
        <v>190500</v>
      </c>
      <c r="I30" s="42" t="s">
        <v>28</v>
      </c>
      <c r="J30" s="4"/>
      <c r="K30" s="30"/>
      <c r="L30" s="30"/>
      <c r="M30" s="18"/>
      <c r="N30" s="18"/>
      <c r="O30" s="18"/>
      <c r="P30" s="18"/>
      <c r="Q30" s="18"/>
    </row>
    <row r="31" ht="15.75" customHeight="1">
      <c r="H31" s="43">
        <f>I31*0.925</f>
        <v>190461.2</v>
      </c>
      <c r="I31" s="44">
        <f>H2-H4-H7</f>
        <v>205904</v>
      </c>
      <c r="J31" s="4"/>
      <c r="K31" s="30"/>
      <c r="L31" s="30"/>
      <c r="M31" s="18"/>
      <c r="N31" s="18"/>
      <c r="O31" s="18"/>
      <c r="P31" s="18"/>
      <c r="Q31" s="18"/>
    </row>
    <row r="32" ht="15.75" customHeight="1">
      <c r="G32" s="37" t="s">
        <v>29</v>
      </c>
      <c r="H32" s="45">
        <f>H31-H30</f>
        <v>-38.8</v>
      </c>
      <c r="J32" s="4"/>
      <c r="K32" s="4"/>
      <c r="L32" s="4"/>
    </row>
    <row r="33" ht="15.75" customHeight="1">
      <c r="A33" s="46" t="s">
        <v>30</v>
      </c>
      <c r="B33" s="46"/>
      <c r="C33" s="46"/>
      <c r="D33" s="46"/>
      <c r="E33" s="46"/>
      <c r="F33" s="47"/>
      <c r="G33" s="47"/>
      <c r="H33" s="48"/>
      <c r="J33" s="4"/>
      <c r="K33" s="4"/>
      <c r="L33" s="4"/>
    </row>
    <row r="34" ht="15.75" customHeight="1">
      <c r="A34" s="46"/>
      <c r="B34" s="46"/>
      <c r="C34" s="46"/>
      <c r="D34" s="46"/>
      <c r="E34" s="47" t="s">
        <v>9</v>
      </c>
      <c r="F34" s="47" t="s">
        <v>10</v>
      </c>
      <c r="G34" s="47" t="s">
        <v>31</v>
      </c>
      <c r="H34" s="48"/>
      <c r="J34" s="4"/>
      <c r="K34" s="4"/>
      <c r="L34" s="4"/>
    </row>
    <row r="35" ht="15.75" customHeight="1">
      <c r="A35" s="46"/>
      <c r="B35" s="46"/>
      <c r="C35" s="46"/>
      <c r="D35" s="46"/>
      <c r="E35" s="46">
        <f t="shared" ref="E35:F35" si="7">(E13+E30)*1000</f>
        <v>657333.3333</v>
      </c>
      <c r="F35" s="49">
        <f t="shared" si="7"/>
        <v>2153333.333</v>
      </c>
      <c r="G35" s="49">
        <f>(H2/F35)*1000</f>
        <v>185.7585139</v>
      </c>
      <c r="H35" s="48"/>
      <c r="J35" s="4"/>
      <c r="K35" s="4"/>
      <c r="L35" s="4"/>
    </row>
    <row r="36" ht="15.75" customHeight="1">
      <c r="A36" s="6"/>
      <c r="B36" s="4"/>
      <c r="C36" s="4"/>
      <c r="D36" s="4"/>
      <c r="E36" s="4"/>
      <c r="F36" s="4"/>
      <c r="G36" s="50"/>
      <c r="H36" s="24"/>
      <c r="I36" s="4"/>
      <c r="J36" s="4"/>
      <c r="K36" s="4"/>
      <c r="L36" s="4"/>
    </row>
    <row r="37" ht="15.75" customHeight="1">
      <c r="A37" s="4"/>
      <c r="B37" s="51"/>
      <c r="C37" s="51"/>
      <c r="D37" s="51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drawing r:id="rId1"/>
</worksheet>
</file>