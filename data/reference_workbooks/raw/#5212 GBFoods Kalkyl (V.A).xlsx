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ylmall Paid + Org." sheetId="1" r:id="rId4"/>
    <sheet state="visible" name="ME Kalkylmall Paid + Org." sheetId="2" r:id="rId5"/>
  </sheets>
  <definedNames/>
  <calcPr/>
  <extLst>
    <ext uri="GoogleSheetsCustomDataVersion2">
      <go:sheetsCustomData xmlns:go="http://customooxmlschemas.google.com/" r:id="rId6" roundtripDataChecksum="mFJI/5/GoWjyiUTLs7ryr6jKeyFNrJ62cbrehxqOeks="/>
    </ext>
  </extLst>
</workbook>
</file>

<file path=xl/sharedStrings.xml><?xml version="1.0" encoding="utf-8"?>
<sst xmlns="http://schemas.openxmlformats.org/spreadsheetml/2006/main" count="85" uniqueCount="35">
  <si>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</si>
  <si>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</si>
  <si>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</si>
  <si>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</si>
  <si>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</si>
  <si>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</si>
  <si>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</si>
  <si>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</si>
  <si>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</si>
  <si>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</si>
  <si>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</si>
  <si>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</si>
  <si>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</si>
  <si>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</t>
  </si>
  <si>
    <t>reach / video views</t>
  </si>
  <si>
    <t>Media spend TikTok</t>
  </si>
  <si>
    <t>Total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</si>
  <si>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</si>
  <si>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</si>
  <si>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</si>
  <si>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</si>
  <si>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</si>
  <si>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</si>
  <si>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</si>
  <si>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</si>
  <si>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</si>
  <si>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Instagram</t>
  </si>
  <si>
    <t>Profile á 50-80 K</t>
  </si>
  <si>
    <t>7-30 days</t>
  </si>
  <si>
    <t>Tiktok</t>
  </si>
  <si>
    <t>inkl 7,5%</t>
  </si>
  <si>
    <t>TOTAL CAMPAIGN</t>
  </si>
  <si>
    <t>CPM</t>
  </si>
  <si>
    <t>Profile á 50-100K</t>
  </si>
  <si>
    <t>Profile á 50-90K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</si>
</sst>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2" numFmtId="0" xfId="0" applyFont="1"/>
    <xf borderId="0" fillId="5" fontId="3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7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6" fontId="2" numFmtId="1" xfId="0" applyFont="1" applyNumberFormat="1"/>
    <xf borderId="0" fillId="3" fontId="2" numFmtId="1" xfId="0" applyAlignment="1" applyFont="1" applyNumberFormat="1">
      <alignment horizontal="right" vertical="bottom"/>
    </xf>
    <xf borderId="0" fillId="7" fontId="1" numFmtId="1" xfId="0" applyFont="1" applyNumberFormat="1"/>
    <xf borderId="0" fillId="0" fontId="3" numFmtId="0" xfId="0" applyAlignment="1" applyFont="1">
      <alignment horizontal="right"/>
    </xf>
    <xf borderId="0" fillId="0" fontId="2" numFmtId="0" xfId="0" applyAlignment="1" applyFont="1">
      <alignment readingOrder="0" vertical="bottom"/>
    </xf>
    <xf borderId="0" fillId="0" fontId="5" numFmtId="1" xfId="0" applyFont="1" applyNumberFormat="1"/>
    <xf borderId="0" fillId="0" fontId="6" numFmtId="0" xfId="0" applyFon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7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33898.0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0.33898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15000.0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0.15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2.0</v>
      </c>
      <c r="C10" s="20">
        <v>2000.0</v>
      </c>
      <c r="D10" s="22"/>
      <c r="E10" s="22"/>
      <c r="F10" s="22"/>
      <c r="G10" s="22"/>
      <c r="H10" s="22">
        <f>B10*C10</f>
        <v>4000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2"/>
      <c r="C11" s="22"/>
      <c r="D11" s="21" t="s">
        <v>14</v>
      </c>
      <c r="E11" s="23">
        <f t="shared" ref="E11:E13" si="1">F11*0.25</f>
        <v>53125</v>
      </c>
      <c r="F11" s="23">
        <f t="shared" ref="F11:F12" si="2">sum(1000*H11)/G11*0.85</f>
        <v>212500</v>
      </c>
      <c r="G11" s="24">
        <v>20.0</v>
      </c>
      <c r="H11" s="25">
        <v>5000.0</v>
      </c>
      <c r="K11" s="19"/>
      <c r="L11" s="19"/>
      <c r="M11" s="19"/>
      <c r="N11" s="19"/>
      <c r="O11" s="19"/>
      <c r="P11" s="19"/>
      <c r="Q11" s="19"/>
    </row>
    <row r="12" ht="15.75" customHeight="1">
      <c r="A12" s="20" t="s">
        <v>15</v>
      </c>
      <c r="B12" s="22"/>
      <c r="C12" s="22"/>
      <c r="D12" s="21" t="s">
        <v>14</v>
      </c>
      <c r="E12" s="23">
        <f t="shared" si="1"/>
        <v>85000</v>
      </c>
      <c r="F12" s="23">
        <f t="shared" si="2"/>
        <v>340000</v>
      </c>
      <c r="G12" s="24">
        <v>15.0</v>
      </c>
      <c r="H12" s="25">
        <v>6000.0</v>
      </c>
      <c r="I12" s="26"/>
      <c r="K12" s="19"/>
      <c r="L12" s="19"/>
      <c r="M12" s="19"/>
      <c r="N12" s="19"/>
      <c r="O12" s="19"/>
      <c r="P12" s="19"/>
      <c r="Q12" s="19"/>
    </row>
    <row r="13" ht="15.75" customHeight="1">
      <c r="A13" s="14" t="s">
        <v>16</v>
      </c>
      <c r="B13" s="14"/>
      <c r="C13" s="14"/>
      <c r="D13" s="14"/>
      <c r="E13" s="27">
        <f t="shared" si="1"/>
        <v>138.125</v>
      </c>
      <c r="F13" s="28">
        <f>sum(F10:F12)/1000</f>
        <v>552.5</v>
      </c>
      <c r="G13" s="29"/>
      <c r="H13" s="30">
        <f>sum(H10:H12)</f>
        <v>15000</v>
      </c>
      <c r="I13" s="31"/>
      <c r="K13" s="19"/>
      <c r="L13" s="19"/>
      <c r="M13" s="19"/>
      <c r="N13" s="19"/>
      <c r="O13" s="19"/>
      <c r="P13" s="19"/>
      <c r="Q13" s="19"/>
    </row>
    <row r="14" ht="15.75" customHeight="1">
      <c r="A14" s="18" t="s">
        <v>4</v>
      </c>
      <c r="B14" s="14"/>
      <c r="C14" s="14"/>
      <c r="D14" s="14"/>
      <c r="E14" s="32"/>
      <c r="F14" s="33"/>
      <c r="G14" s="29"/>
      <c r="H14" s="34">
        <f>H13/H2</f>
        <v>0.15</v>
      </c>
      <c r="I14" s="31"/>
      <c r="K14" s="19"/>
      <c r="L14" s="19"/>
      <c r="M14" s="19"/>
      <c r="N14" s="19"/>
      <c r="O14" s="19"/>
      <c r="P14" s="19"/>
      <c r="Q14" s="19"/>
    </row>
    <row r="15" ht="15.75" customHeight="1">
      <c r="I15" s="19"/>
      <c r="K15" s="19"/>
      <c r="L15" s="19"/>
      <c r="M15" s="19"/>
      <c r="N15" s="19"/>
      <c r="O15" s="19"/>
      <c r="P15" s="19"/>
      <c r="Q15" s="19"/>
    </row>
    <row r="16" ht="15.75" customHeight="1">
      <c r="A16" s="35" t="s">
        <v>17</v>
      </c>
      <c r="B16" s="35"/>
      <c r="C16" s="35"/>
      <c r="D16" s="35"/>
      <c r="E16" s="35"/>
      <c r="F16" s="35"/>
      <c r="G16" s="35"/>
      <c r="H16" s="35"/>
      <c r="I16" s="36"/>
      <c r="K16" s="19"/>
      <c r="L16" s="19"/>
      <c r="M16" s="19"/>
      <c r="N16" s="19"/>
      <c r="O16" s="19"/>
      <c r="P16" s="19"/>
      <c r="Q16" s="19"/>
    </row>
    <row r="17" ht="15.75" customHeight="1">
      <c r="A17" s="37" t="s">
        <v>18</v>
      </c>
      <c r="B17" s="37" t="s">
        <v>19</v>
      </c>
      <c r="C17" s="37" t="s">
        <v>20</v>
      </c>
      <c r="D17" s="37" t="s">
        <v>21</v>
      </c>
      <c r="E17" s="38" t="s">
        <v>22</v>
      </c>
      <c r="F17" s="37" t="s">
        <v>23</v>
      </c>
      <c r="G17" s="37" t="s">
        <v>24</v>
      </c>
      <c r="H17" s="37" t="s">
        <v>25</v>
      </c>
      <c r="I17" s="36"/>
      <c r="K17" s="19"/>
      <c r="L17" s="19"/>
      <c r="M17" s="19"/>
      <c r="N17" s="19"/>
      <c r="O17" s="19"/>
      <c r="P17" s="19"/>
      <c r="Q17" s="19"/>
    </row>
    <row r="18" ht="15.75" customHeight="1">
      <c r="A18" s="39" t="s">
        <v>26</v>
      </c>
      <c r="B18" s="21" t="s">
        <v>27</v>
      </c>
      <c r="C18" s="20"/>
      <c r="D18" s="40" t="s">
        <v>28</v>
      </c>
      <c r="E18" s="41">
        <f t="shared" ref="E18:E20" si="3">F18*0.6</f>
        <v>30</v>
      </c>
      <c r="F18" s="21">
        <v>50.0</v>
      </c>
      <c r="G18" s="21">
        <v>570.0</v>
      </c>
      <c r="H18" s="22">
        <f t="shared" ref="H18:H20" si="4">F18*G18</f>
        <v>28500</v>
      </c>
      <c r="K18" s="19"/>
      <c r="L18" s="31"/>
      <c r="M18" s="31"/>
      <c r="N18" s="7"/>
      <c r="O18" s="26"/>
      <c r="P18" s="31"/>
      <c r="Q18" s="19"/>
    </row>
    <row r="19" ht="15.75" customHeight="1">
      <c r="A19" s="39" t="s">
        <v>29</v>
      </c>
      <c r="B19" s="21" t="s">
        <v>27</v>
      </c>
      <c r="C19" s="20"/>
      <c r="D19" s="40" t="s">
        <v>28</v>
      </c>
      <c r="E19" s="22">
        <f t="shared" si="3"/>
        <v>30</v>
      </c>
      <c r="F19" s="21">
        <v>50.0</v>
      </c>
      <c r="G19" s="21">
        <v>430.0</v>
      </c>
      <c r="H19" s="22">
        <f t="shared" si="4"/>
        <v>21500</v>
      </c>
      <c r="K19" s="19"/>
      <c r="L19" s="42"/>
      <c r="M19" s="42"/>
      <c r="N19" s="24"/>
      <c r="O19" s="26"/>
      <c r="P19" s="26"/>
      <c r="Q19" s="19"/>
    </row>
    <row r="20" ht="15.75" customHeight="1">
      <c r="A20" s="39" t="s">
        <v>29</v>
      </c>
      <c r="B20" s="21" t="s">
        <v>27</v>
      </c>
      <c r="C20" s="20"/>
      <c r="D20" s="40" t="s">
        <v>28</v>
      </c>
      <c r="E20" s="41">
        <f t="shared" si="3"/>
        <v>30</v>
      </c>
      <c r="F20" s="21">
        <v>50.0</v>
      </c>
      <c r="G20" s="21">
        <v>430.0</v>
      </c>
      <c r="H20" s="22">
        <f t="shared" si="4"/>
        <v>21500</v>
      </c>
      <c r="K20" s="19"/>
      <c r="L20" s="42"/>
      <c r="M20" s="42"/>
      <c r="N20" s="24"/>
      <c r="O20" s="26"/>
      <c r="P20" s="26"/>
      <c r="Q20" s="19"/>
    </row>
    <row r="21" ht="15.75" customHeight="1">
      <c r="A21" s="35" t="s">
        <v>16</v>
      </c>
      <c r="B21" s="35"/>
      <c r="C21" s="35"/>
      <c r="D21" s="35"/>
      <c r="E21" s="43">
        <f>sum(E18:E19)</f>
        <v>60</v>
      </c>
      <c r="F21" s="43">
        <f>SUM(F18:F19)</f>
        <v>100</v>
      </c>
      <c r="G21" s="35"/>
      <c r="H21" s="43">
        <f>sum(H18:H19)</f>
        <v>50000</v>
      </c>
      <c r="I21" s="44" t="s">
        <v>30</v>
      </c>
      <c r="J21" s="45"/>
      <c r="K21" s="31"/>
      <c r="L21" s="31"/>
      <c r="M21" s="19"/>
      <c r="N21" s="19"/>
      <c r="O21" s="19"/>
      <c r="P21" s="19"/>
      <c r="Q21" s="19"/>
    </row>
    <row r="22" ht="15.75" customHeight="1">
      <c r="H22" s="46">
        <f>I22*0.925</f>
        <v>47269.35</v>
      </c>
      <c r="I22" s="47">
        <f>H2-H4-H7</f>
        <v>51102</v>
      </c>
      <c r="K22" s="31"/>
      <c r="L22" s="31"/>
      <c r="M22" s="19"/>
      <c r="N22" s="19"/>
      <c r="O22" s="19"/>
      <c r="P22" s="19"/>
      <c r="Q22" s="19"/>
    </row>
    <row r="23" ht="15.75" customHeight="1">
      <c r="J23" s="4"/>
      <c r="K23" s="4"/>
      <c r="L23" s="4"/>
    </row>
    <row r="24" ht="15.75" customHeight="1">
      <c r="A24" s="48" t="s">
        <v>31</v>
      </c>
      <c r="B24" s="48"/>
      <c r="C24" s="48"/>
      <c r="D24" s="48"/>
      <c r="E24" s="48"/>
      <c r="F24" s="49"/>
      <c r="G24" s="49"/>
      <c r="H24" s="50"/>
      <c r="J24" s="4"/>
      <c r="K24" s="4"/>
      <c r="L24" s="4"/>
    </row>
    <row r="25" ht="15.75" customHeight="1">
      <c r="A25" s="48"/>
      <c r="B25" s="48"/>
      <c r="C25" s="48"/>
      <c r="D25" s="48"/>
      <c r="E25" s="49" t="s">
        <v>9</v>
      </c>
      <c r="F25" s="49" t="s">
        <v>10</v>
      </c>
      <c r="G25" s="49" t="s">
        <v>32</v>
      </c>
      <c r="H25" s="50"/>
      <c r="J25" s="4"/>
      <c r="K25" s="4"/>
      <c r="L25" s="4"/>
    </row>
    <row r="26" ht="15.75" customHeight="1">
      <c r="A26" s="48"/>
      <c r="B26" s="48"/>
      <c r="C26" s="48"/>
      <c r="D26" s="48"/>
      <c r="E26" s="48">
        <f t="shared" ref="E26:F26" si="5">(E13+E21)*1000</f>
        <v>198125</v>
      </c>
      <c r="F26" s="51">
        <f t="shared" si="5"/>
        <v>652500</v>
      </c>
      <c r="G26" s="51">
        <f>(H2/F26)*1000</f>
        <v>153.256705</v>
      </c>
      <c r="H26" s="50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52"/>
      <c r="H27" s="53"/>
      <c r="I27" s="4"/>
      <c r="J27" s="4"/>
      <c r="K27" s="4"/>
      <c r="L27" s="4"/>
    </row>
    <row r="28" ht="15.75" customHeight="1">
      <c r="A28" s="4"/>
      <c r="B28" s="54"/>
      <c r="C28" s="54"/>
      <c r="D28" s="5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6"/>
      <c r="B32" s="4"/>
      <c r="C32" s="4"/>
      <c r="D32" s="4"/>
      <c r="E32" s="6"/>
      <c r="F32" s="6"/>
      <c r="G32" s="6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53"/>
      <c r="C36" s="53"/>
      <c r="D36" s="53"/>
      <c r="E36" s="4"/>
      <c r="F36" s="4"/>
      <c r="G36" s="4"/>
      <c r="H36" s="4"/>
      <c r="I36" s="4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29116.0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0.29116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15000.0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0.15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2.0</v>
      </c>
      <c r="C10" s="20">
        <v>2000.0</v>
      </c>
      <c r="D10" s="22"/>
      <c r="E10" s="22"/>
      <c r="F10" s="22"/>
      <c r="G10" s="22"/>
      <c r="H10" s="22">
        <f>B10*C10</f>
        <v>4000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2"/>
      <c r="C11" s="22"/>
      <c r="D11" s="21" t="s">
        <v>14</v>
      </c>
      <c r="E11" s="23">
        <f t="shared" ref="E11:E13" si="1">F11*0.25</f>
        <v>58437.5</v>
      </c>
      <c r="F11" s="23">
        <f t="shared" ref="F11:F12" si="2">sum(1000*H11)/G11*0.85</f>
        <v>233750</v>
      </c>
      <c r="G11" s="24">
        <v>20.0</v>
      </c>
      <c r="H11" s="25">
        <v>5500.0</v>
      </c>
      <c r="K11" s="19"/>
      <c r="L11" s="19"/>
      <c r="M11" s="19"/>
      <c r="N11" s="19"/>
      <c r="O11" s="19"/>
      <c r="P11" s="19"/>
      <c r="Q11" s="19"/>
    </row>
    <row r="12" ht="15.75" customHeight="1">
      <c r="A12" s="20" t="s">
        <v>15</v>
      </c>
      <c r="B12" s="22"/>
      <c r="C12" s="22"/>
      <c r="D12" s="21" t="s">
        <v>14</v>
      </c>
      <c r="E12" s="23">
        <f t="shared" si="1"/>
        <v>77916.66667</v>
      </c>
      <c r="F12" s="23">
        <f t="shared" si="2"/>
        <v>311666.6667</v>
      </c>
      <c r="G12" s="24">
        <v>15.0</v>
      </c>
      <c r="H12" s="25">
        <v>5500.0</v>
      </c>
      <c r="I12" s="26"/>
      <c r="K12" s="19"/>
      <c r="L12" s="19"/>
      <c r="M12" s="19"/>
      <c r="N12" s="19"/>
      <c r="O12" s="19"/>
      <c r="P12" s="19"/>
      <c r="Q12" s="19"/>
    </row>
    <row r="13" ht="15.75" customHeight="1">
      <c r="A13" s="14" t="s">
        <v>16</v>
      </c>
      <c r="B13" s="14"/>
      <c r="C13" s="14"/>
      <c r="D13" s="14"/>
      <c r="E13" s="27">
        <f t="shared" si="1"/>
        <v>136.3541667</v>
      </c>
      <c r="F13" s="28">
        <f>sum(F10:F12)/1000</f>
        <v>545.4166667</v>
      </c>
      <c r="G13" s="29"/>
      <c r="H13" s="30">
        <f>sum(H10:H12)</f>
        <v>15000</v>
      </c>
      <c r="I13" s="31"/>
      <c r="K13" s="19"/>
      <c r="L13" s="19"/>
      <c r="M13" s="19"/>
      <c r="N13" s="19"/>
      <c r="O13" s="19"/>
      <c r="P13" s="19"/>
      <c r="Q13" s="19"/>
    </row>
    <row r="14" ht="15.75" customHeight="1">
      <c r="A14" s="18" t="s">
        <v>4</v>
      </c>
      <c r="B14" s="14"/>
      <c r="C14" s="14"/>
      <c r="D14" s="14"/>
      <c r="E14" s="32"/>
      <c r="F14" s="33"/>
      <c r="G14" s="29"/>
      <c r="H14" s="34">
        <f>H13/H2</f>
        <v>0.15</v>
      </c>
      <c r="I14" s="31"/>
      <c r="K14" s="19"/>
      <c r="L14" s="19"/>
      <c r="M14" s="19"/>
      <c r="N14" s="19"/>
      <c r="O14" s="19"/>
      <c r="P14" s="19"/>
      <c r="Q14" s="19"/>
    </row>
    <row r="15" ht="15.75" customHeight="1">
      <c r="I15" s="19"/>
      <c r="K15" s="19"/>
      <c r="L15" s="19"/>
      <c r="M15" s="19"/>
      <c r="N15" s="19"/>
      <c r="O15" s="19"/>
      <c r="P15" s="19"/>
      <c r="Q15" s="19"/>
    </row>
    <row r="16" ht="15.75" customHeight="1">
      <c r="A16" s="35" t="s">
        <v>17</v>
      </c>
      <c r="B16" s="35"/>
      <c r="C16" s="35"/>
      <c r="D16" s="35"/>
      <c r="E16" s="35"/>
      <c r="F16" s="35"/>
      <c r="G16" s="35"/>
      <c r="H16" s="35"/>
      <c r="I16" s="36"/>
      <c r="K16" s="19"/>
      <c r="L16" s="19"/>
      <c r="M16" s="19"/>
      <c r="N16" s="19"/>
      <c r="O16" s="19"/>
      <c r="P16" s="19"/>
      <c r="Q16" s="19"/>
    </row>
    <row r="17" ht="15.75" customHeight="1">
      <c r="A17" s="37" t="s">
        <v>18</v>
      </c>
      <c r="B17" s="37" t="s">
        <v>19</v>
      </c>
      <c r="C17" s="37" t="s">
        <v>20</v>
      </c>
      <c r="D17" s="37" t="s">
        <v>21</v>
      </c>
      <c r="E17" s="38" t="s">
        <v>22</v>
      </c>
      <c r="F17" s="37" t="s">
        <v>23</v>
      </c>
      <c r="G17" s="37" t="s">
        <v>24</v>
      </c>
      <c r="H17" s="37" t="s">
        <v>25</v>
      </c>
      <c r="I17" s="36"/>
      <c r="K17" s="19"/>
      <c r="L17" s="19"/>
      <c r="M17" s="19"/>
      <c r="N17" s="19"/>
      <c r="O17" s="19"/>
      <c r="P17" s="19"/>
      <c r="Q17" s="19"/>
    </row>
    <row r="18" ht="15.75" customHeight="1">
      <c r="A18" s="39" t="s">
        <v>26</v>
      </c>
      <c r="B18" s="21" t="s">
        <v>33</v>
      </c>
      <c r="C18" s="20"/>
      <c r="D18" s="40" t="s">
        <v>28</v>
      </c>
      <c r="E18" s="41">
        <f t="shared" ref="E18:E19" si="3">F18*0.6</f>
        <v>30</v>
      </c>
      <c r="F18" s="21">
        <v>50.0</v>
      </c>
      <c r="G18" s="21">
        <v>570.0</v>
      </c>
      <c r="H18" s="22">
        <f t="shared" ref="H18:H19" si="4">F18*G18</f>
        <v>28500</v>
      </c>
      <c r="K18" s="19"/>
      <c r="L18" s="31"/>
      <c r="M18" s="31"/>
      <c r="N18" s="7"/>
      <c r="O18" s="26"/>
      <c r="P18" s="31"/>
      <c r="Q18" s="19"/>
    </row>
    <row r="19" ht="15.75" customHeight="1">
      <c r="A19" s="39" t="s">
        <v>29</v>
      </c>
      <c r="B19" s="21" t="s">
        <v>34</v>
      </c>
      <c r="C19" s="20"/>
      <c r="D19" s="40" t="s">
        <v>28</v>
      </c>
      <c r="E19" s="22">
        <f t="shared" si="3"/>
        <v>30</v>
      </c>
      <c r="F19" s="21">
        <v>50.0</v>
      </c>
      <c r="G19" s="21">
        <v>430.0</v>
      </c>
      <c r="H19" s="22">
        <f t="shared" si="4"/>
        <v>21500</v>
      </c>
      <c r="K19" s="19"/>
      <c r="L19" s="42"/>
      <c r="M19" s="42"/>
      <c r="N19" s="24"/>
      <c r="O19" s="26"/>
      <c r="P19" s="26"/>
      <c r="Q19" s="19"/>
    </row>
    <row r="20" ht="15.75" customHeight="1">
      <c r="A20" s="35" t="s">
        <v>16</v>
      </c>
      <c r="B20" s="35"/>
      <c r="C20" s="35"/>
      <c r="D20" s="35"/>
      <c r="E20" s="43">
        <f>sum(E18:E19)</f>
        <v>60</v>
      </c>
      <c r="F20" s="43">
        <f>SUM(F18:F19)</f>
        <v>100</v>
      </c>
      <c r="G20" s="35"/>
      <c r="H20" s="43">
        <f>sum(H18:H19)</f>
        <v>50000</v>
      </c>
      <c r="I20" s="44" t="s">
        <v>30</v>
      </c>
      <c r="J20" s="45"/>
      <c r="K20" s="31"/>
      <c r="L20" s="31"/>
      <c r="M20" s="19"/>
      <c r="N20" s="19"/>
      <c r="O20" s="19"/>
      <c r="P20" s="19"/>
      <c r="Q20" s="19"/>
    </row>
    <row r="21" ht="15.75" customHeight="1">
      <c r="H21" s="46">
        <f>I21*0.925</f>
        <v>51692.7</v>
      </c>
      <c r="I21" s="47">
        <f>H2-H4-H7</f>
        <v>55884</v>
      </c>
      <c r="K21" s="31"/>
      <c r="L21" s="31"/>
      <c r="M21" s="19"/>
      <c r="N21" s="19"/>
      <c r="O21" s="19"/>
      <c r="P21" s="19"/>
      <c r="Q21" s="19"/>
    </row>
    <row r="22" ht="15.75" customHeight="1">
      <c r="J22" s="4"/>
      <c r="K22" s="4"/>
      <c r="L22" s="4"/>
    </row>
    <row r="23" ht="15.75" customHeight="1">
      <c r="A23" s="48" t="s">
        <v>31</v>
      </c>
      <c r="B23" s="48"/>
      <c r="C23" s="48"/>
      <c r="D23" s="48"/>
      <c r="E23" s="48"/>
      <c r="F23" s="49"/>
      <c r="G23" s="49"/>
      <c r="H23" s="50"/>
      <c r="J23" s="4"/>
      <c r="K23" s="4"/>
      <c r="L23" s="4"/>
    </row>
    <row r="24" ht="15.75" customHeight="1">
      <c r="A24" s="48"/>
      <c r="B24" s="48"/>
      <c r="C24" s="48"/>
      <c r="D24" s="48"/>
      <c r="E24" s="49" t="s">
        <v>9</v>
      </c>
      <c r="F24" s="49" t="s">
        <v>10</v>
      </c>
      <c r="G24" s="49" t="s">
        <v>32</v>
      </c>
      <c r="H24" s="50"/>
      <c r="J24" s="4"/>
      <c r="K24" s="4"/>
      <c r="L24" s="4"/>
    </row>
    <row r="25" ht="15.75" customHeight="1">
      <c r="A25" s="48"/>
      <c r="B25" s="48"/>
      <c r="C25" s="48"/>
      <c r="D25" s="48"/>
      <c r="E25" s="48">
        <f t="shared" ref="E25:F25" si="5">(E13+E20)*1000</f>
        <v>196354.1667</v>
      </c>
      <c r="F25" s="51">
        <f t="shared" si="5"/>
        <v>645416.6667</v>
      </c>
      <c r="G25" s="51">
        <f>(H2/F25)*1000</f>
        <v>154.9386701</v>
      </c>
      <c r="H25" s="50"/>
      <c r="J25" s="4"/>
      <c r="K25" s="4"/>
      <c r="L25" s="4"/>
    </row>
    <row r="26" ht="15.75" customHeight="1">
      <c r="A26" s="6"/>
      <c r="B26" s="4"/>
      <c r="C26" s="4"/>
      <c r="D26" s="4"/>
      <c r="E26" s="4"/>
      <c r="F26" s="4"/>
      <c r="G26" s="52"/>
      <c r="H26" s="53"/>
      <c r="I26" s="4"/>
      <c r="J26" s="4"/>
      <c r="K26" s="4"/>
      <c r="L26" s="4"/>
    </row>
    <row r="27" ht="15.75" customHeight="1">
      <c r="A27" s="4"/>
      <c r="B27" s="54"/>
      <c r="C27" s="54"/>
      <c r="D27" s="5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6"/>
      <c r="B31" s="4"/>
      <c r="C31" s="4"/>
      <c r="D31" s="4"/>
      <c r="E31" s="6"/>
      <c r="F31" s="6"/>
      <c r="G31" s="6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53"/>
      <c r="C35" s="53"/>
      <c r="D35" s="53"/>
      <c r="E35" s="4"/>
      <c r="F35" s="4"/>
      <c r="G35" s="4"/>
      <c r="H35" s="4"/>
      <c r="I35" s="4"/>
      <c r="J35" s="4"/>
      <c r="K35" s="4"/>
      <c r="L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