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Kalkylmall Paid + Org." sheetId="1" r:id="rId4"/>
    <sheet state="visible" name="2. Kalkylmall Paid + Org." sheetId="2" r:id="rId5"/>
  </sheets>
  <definedNames/>
  <calcPr/>
  <extLst>
    <ext uri="GoogleSheetsCustomDataVersion2">
      <go:sheetsCustomData xmlns:go="http://customooxmlschemas.google.com/" r:id="rId6" roundtripDataChecksum="nJqHKq7is1d5nnTZHpbtSJJFwGqi7wskvlaMR4ma45U="/>
    </ext>
  </extLst>
</workbook>
</file>

<file path=xl/sharedStrings.xml><?xml version="1.0" encoding="utf-8"?>
<sst xmlns="http://schemas.openxmlformats.org/spreadsheetml/2006/main" count="150" uniqueCount="38">
  <si>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</si>
  <si>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</si>
  <si>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</si>
  <si>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</si>
  <si>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</si>
  <si>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</si>
  <si>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</si>
  <si>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</si>
  <si>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</si>
  <si>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</si>
  <si>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</si>
  <si>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</si>
  <si>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</si>
  <si>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</si>
  <si>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räckvidd/trafik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</si>
  <si>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</si>
  <si>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</si>
  <si>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</si>
  <si>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</si>
  <si>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</si>
  <si>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</si>
  <si>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</si>
  <si>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</si>
  <si>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</si>
  <si>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</si>
  <si>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Instagram</t>
  </si>
  <si>
    <t>Profile á 50-70K</t>
  </si>
  <si>
    <t>2x reel</t>
  </si>
  <si>
    <t>7-30 days</t>
  </si>
  <si>
    <t>Profile á 80-100K</t>
  </si>
  <si>
    <t>TikTok</t>
  </si>
  <si>
    <t>Profile á 100-150K</t>
  </si>
  <si>
    <t>inkl 7,5%</t>
  </si>
  <si>
    <t>TOTAL CAMPAIGN</t>
  </si>
  <si>
    <t>CPM</t>
  </si>
  <si>
    <t>Profile á 30-70K</t>
  </si>
  <si>
    <t>1x reel</t>
  </si>
  <si>
    <t>Profile á 50-100K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</si>
</sst>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0&quot; K&quot;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rgb="FF980000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Font="1"/>
    <xf borderId="0" fillId="5" fontId="4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2" xfId="0" applyAlignment="1" applyFont="1" applyNumberForma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0" fontId="5" numFmtId="165" xfId="0" applyFont="1" applyNumberFormat="1"/>
    <xf borderId="0" fillId="3" fontId="2" numFmtId="1" xfId="0" applyAlignment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3" numFmtId="0" xfId="0" applyAlignment="1" applyFont="1">
      <alignment horizontal="right"/>
    </xf>
    <xf borderId="0" fillId="0" fontId="6" numFmtId="1" xfId="0" applyFont="1" applyNumberFormat="1"/>
    <xf borderId="0" fillId="0" fontId="7" numFmtId="0" xfId="0" applyFon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8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5" fontId="7" numFmtId="10" xfId="0" applyFont="1" applyNumberFormat="1"/>
    <xf borderId="0" fillId="0" fontId="4" numFmtId="10" xfId="0" applyFont="1" applyNumberFormat="1"/>
    <xf borderId="0" fillId="0" fontId="5" numFmtId="165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5" numFmtId="0" xfId="0" applyFont="1"/>
    <xf borderId="0" fillId="8" fontId="8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500000.0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163400.0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0.3268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70000.0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0.14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16.0</v>
      </c>
      <c r="C10" s="20">
        <v>2000.0</v>
      </c>
      <c r="D10" s="22"/>
      <c r="E10" s="22"/>
      <c r="F10" s="22"/>
      <c r="G10" s="22"/>
      <c r="H10" s="22">
        <f>B10*C10</f>
        <v>32000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2"/>
      <c r="C11" s="22"/>
      <c r="D11" s="20" t="s">
        <v>14</v>
      </c>
      <c r="E11" s="23">
        <f t="shared" ref="E11:E13" si="1">F11*0.25</f>
        <v>201875</v>
      </c>
      <c r="F11" s="23">
        <f t="shared" ref="F11:F12" si="2">sum(1000*H11)/G11*0.85</f>
        <v>807500</v>
      </c>
      <c r="G11" s="24">
        <v>20.0</v>
      </c>
      <c r="H11" s="25">
        <v>19000.0</v>
      </c>
      <c r="K11" s="19"/>
      <c r="L11" s="19"/>
      <c r="M11" s="19"/>
      <c r="N11" s="19"/>
      <c r="O11" s="19"/>
      <c r="P11" s="19"/>
      <c r="Q11" s="19"/>
    </row>
    <row r="12" ht="15.75" customHeight="1">
      <c r="A12" s="20" t="s">
        <v>15</v>
      </c>
      <c r="B12" s="22"/>
      <c r="C12" s="22"/>
      <c r="D12" s="20" t="s">
        <v>14</v>
      </c>
      <c r="E12" s="23">
        <f t="shared" si="1"/>
        <v>269166.6667</v>
      </c>
      <c r="F12" s="23">
        <f t="shared" si="2"/>
        <v>1076666.667</v>
      </c>
      <c r="G12" s="24">
        <v>15.0</v>
      </c>
      <c r="H12" s="25">
        <v>19000.0</v>
      </c>
      <c r="I12" s="26"/>
      <c r="K12" s="19"/>
      <c r="L12" s="19"/>
      <c r="M12" s="19"/>
      <c r="N12" s="19"/>
      <c r="O12" s="19"/>
      <c r="P12" s="19"/>
      <c r="Q12" s="19"/>
    </row>
    <row r="13" ht="15.75" customHeight="1">
      <c r="A13" s="14" t="s">
        <v>16</v>
      </c>
      <c r="B13" s="14"/>
      <c r="C13" s="14"/>
      <c r="D13" s="14"/>
      <c r="E13" s="27">
        <f t="shared" si="1"/>
        <v>471.0416667</v>
      </c>
      <c r="F13" s="28">
        <f>sum(F10:F12)/1000</f>
        <v>1884.166667</v>
      </c>
      <c r="G13" s="29"/>
      <c r="H13" s="30">
        <f>sum(H10:H12)</f>
        <v>70000</v>
      </c>
      <c r="I13" s="31"/>
      <c r="K13" s="19"/>
      <c r="L13" s="19"/>
      <c r="M13" s="19"/>
      <c r="N13" s="19"/>
      <c r="O13" s="19"/>
      <c r="P13" s="19"/>
      <c r="Q13" s="19"/>
    </row>
    <row r="14" ht="15.75" customHeight="1">
      <c r="A14" s="18" t="s">
        <v>4</v>
      </c>
      <c r="B14" s="14"/>
      <c r="C14" s="14"/>
      <c r="D14" s="14"/>
      <c r="E14" s="32"/>
      <c r="F14" s="33"/>
      <c r="G14" s="29"/>
      <c r="H14" s="34">
        <f>H13/H2</f>
        <v>0.14</v>
      </c>
      <c r="I14" s="31"/>
      <c r="K14" s="19"/>
      <c r="L14" s="19"/>
      <c r="M14" s="19"/>
      <c r="N14" s="19"/>
      <c r="O14" s="19"/>
      <c r="P14" s="19"/>
      <c r="Q14" s="19"/>
    </row>
    <row r="15" ht="15.75" customHeight="1">
      <c r="I15" s="19"/>
      <c r="K15" s="19"/>
      <c r="L15" s="19"/>
      <c r="M15" s="19"/>
      <c r="N15" s="19"/>
      <c r="O15" s="19"/>
      <c r="P15" s="19"/>
      <c r="Q15" s="19"/>
    </row>
    <row r="16" ht="15.75" customHeight="1">
      <c r="A16" s="35" t="s">
        <v>17</v>
      </c>
      <c r="B16" s="35"/>
      <c r="C16" s="35"/>
      <c r="D16" s="35"/>
      <c r="E16" s="35"/>
      <c r="F16" s="35"/>
      <c r="G16" s="35"/>
      <c r="H16" s="35"/>
      <c r="I16" s="36"/>
      <c r="K16" s="19"/>
      <c r="L16" s="19"/>
      <c r="M16" s="19"/>
      <c r="N16" s="19"/>
      <c r="O16" s="19"/>
      <c r="P16" s="19"/>
      <c r="Q16" s="19"/>
    </row>
    <row r="17" ht="15.75" customHeight="1">
      <c r="A17" s="37" t="s">
        <v>18</v>
      </c>
      <c r="B17" s="37" t="s">
        <v>19</v>
      </c>
      <c r="C17" s="37" t="s">
        <v>20</v>
      </c>
      <c r="D17" s="37" t="s">
        <v>21</v>
      </c>
      <c r="E17" s="37" t="s">
        <v>9</v>
      </c>
      <c r="F17" s="37" t="s">
        <v>22</v>
      </c>
      <c r="G17" s="37" t="s">
        <v>23</v>
      </c>
      <c r="H17" s="37" t="s">
        <v>24</v>
      </c>
      <c r="I17" s="36"/>
      <c r="K17" s="19"/>
      <c r="L17" s="19"/>
      <c r="M17" s="19"/>
      <c r="N17" s="19"/>
      <c r="O17" s="19"/>
      <c r="P17" s="19"/>
      <c r="Q17" s="19"/>
    </row>
    <row r="18" ht="15.75" customHeight="1">
      <c r="A18" s="20" t="s">
        <v>25</v>
      </c>
      <c r="B18" s="38" t="s">
        <v>26</v>
      </c>
      <c r="C18" s="21" t="s">
        <v>27</v>
      </c>
      <c r="D18" s="19" t="s">
        <v>28</v>
      </c>
      <c r="E18" s="22">
        <v>9.0</v>
      </c>
      <c r="F18" s="21">
        <v>45.0</v>
      </c>
      <c r="G18" s="20">
        <v>500.0</v>
      </c>
      <c r="H18" s="22">
        <f t="shared" ref="H18:H25" si="3">F18*G18</f>
        <v>22500</v>
      </c>
      <c r="K18" s="19"/>
      <c r="L18" s="31"/>
      <c r="M18" s="31"/>
      <c r="N18" s="7"/>
      <c r="O18" s="26"/>
      <c r="P18" s="31"/>
      <c r="Q18" s="19"/>
    </row>
    <row r="19" ht="15.75" customHeight="1">
      <c r="A19" s="20" t="s">
        <v>25</v>
      </c>
      <c r="B19" s="38" t="s">
        <v>29</v>
      </c>
      <c r="C19" s="21" t="s">
        <v>27</v>
      </c>
      <c r="D19" s="19" t="s">
        <v>28</v>
      </c>
      <c r="E19" s="22">
        <v>15.0</v>
      </c>
      <c r="F19" s="21">
        <v>65.0</v>
      </c>
      <c r="G19" s="20">
        <v>500.0</v>
      </c>
      <c r="H19" s="22">
        <f t="shared" si="3"/>
        <v>32500</v>
      </c>
      <c r="K19" s="19"/>
      <c r="L19" s="39"/>
      <c r="M19" s="39"/>
      <c r="N19" s="24"/>
      <c r="O19" s="26"/>
      <c r="P19" s="26"/>
      <c r="Q19" s="19"/>
    </row>
    <row r="20" ht="15.75" customHeight="1">
      <c r="A20" s="20" t="s">
        <v>25</v>
      </c>
      <c r="B20" s="38" t="s">
        <v>29</v>
      </c>
      <c r="C20" s="21" t="s">
        <v>27</v>
      </c>
      <c r="D20" s="19" t="s">
        <v>28</v>
      </c>
      <c r="E20" s="22">
        <v>15.0</v>
      </c>
      <c r="F20" s="21">
        <v>65.0</v>
      </c>
      <c r="G20" s="20">
        <v>500.0</v>
      </c>
      <c r="H20" s="22">
        <f t="shared" si="3"/>
        <v>32500</v>
      </c>
      <c r="K20" s="19"/>
      <c r="L20" s="39"/>
      <c r="M20" s="39"/>
      <c r="N20" s="24"/>
      <c r="O20" s="26"/>
      <c r="P20" s="26"/>
      <c r="Q20" s="19"/>
    </row>
    <row r="21" ht="15.75" customHeight="1">
      <c r="A21" s="20" t="s">
        <v>25</v>
      </c>
      <c r="B21" s="38" t="s">
        <v>29</v>
      </c>
      <c r="C21" s="21" t="s">
        <v>27</v>
      </c>
      <c r="D21" s="19" t="s">
        <v>28</v>
      </c>
      <c r="E21" s="22">
        <v>15.0</v>
      </c>
      <c r="F21" s="21">
        <v>65.0</v>
      </c>
      <c r="G21" s="20">
        <v>500.0</v>
      </c>
      <c r="H21" s="22">
        <f t="shared" si="3"/>
        <v>32500</v>
      </c>
      <c r="K21" s="19"/>
      <c r="L21" s="39"/>
      <c r="M21" s="39"/>
      <c r="N21" s="24"/>
      <c r="O21" s="26"/>
      <c r="P21" s="26"/>
      <c r="Q21" s="19"/>
    </row>
    <row r="22" ht="15.75" customHeight="1">
      <c r="A22" s="20" t="s">
        <v>30</v>
      </c>
      <c r="B22" s="38" t="s">
        <v>26</v>
      </c>
      <c r="C22" s="21" t="s">
        <v>27</v>
      </c>
      <c r="D22" s="19" t="s">
        <v>28</v>
      </c>
      <c r="E22" s="22">
        <v>27.0</v>
      </c>
      <c r="F22" s="21">
        <v>50.0</v>
      </c>
      <c r="G22" s="20">
        <v>375.0</v>
      </c>
      <c r="H22" s="22">
        <f t="shared" si="3"/>
        <v>18750</v>
      </c>
      <c r="J22" s="4"/>
      <c r="K22" s="40"/>
      <c r="L22" s="26"/>
      <c r="M22" s="19"/>
      <c r="N22" s="19"/>
      <c r="O22" s="19"/>
      <c r="P22" s="19"/>
      <c r="Q22" s="19"/>
    </row>
    <row r="23" ht="15.75" customHeight="1">
      <c r="A23" s="20" t="s">
        <v>30</v>
      </c>
      <c r="B23" s="38" t="s">
        <v>29</v>
      </c>
      <c r="C23" s="21" t="s">
        <v>27</v>
      </c>
      <c r="D23" s="19" t="s">
        <v>28</v>
      </c>
      <c r="E23" s="22">
        <v>27.0</v>
      </c>
      <c r="F23" s="21">
        <v>75.0</v>
      </c>
      <c r="G23" s="20">
        <v>375.0</v>
      </c>
      <c r="H23" s="22">
        <f t="shared" si="3"/>
        <v>28125</v>
      </c>
      <c r="K23" s="19"/>
      <c r="L23" s="41"/>
      <c r="M23" s="39"/>
      <c r="N23" s="7"/>
      <c r="O23" s="26"/>
      <c r="P23" s="31"/>
      <c r="Q23" s="19"/>
    </row>
    <row r="24" ht="15.75" customHeight="1">
      <c r="A24" s="20" t="s">
        <v>30</v>
      </c>
      <c r="B24" s="38" t="s">
        <v>31</v>
      </c>
      <c r="C24" s="21" t="s">
        <v>27</v>
      </c>
      <c r="D24" s="19" t="s">
        <v>28</v>
      </c>
      <c r="E24" s="22">
        <v>27.0</v>
      </c>
      <c r="F24" s="21">
        <v>100.0</v>
      </c>
      <c r="G24" s="20">
        <v>375.0</v>
      </c>
      <c r="H24" s="22">
        <f t="shared" si="3"/>
        <v>37500</v>
      </c>
      <c r="J24" s="4"/>
      <c r="K24" s="40"/>
      <c r="L24" s="26"/>
      <c r="M24" s="19"/>
      <c r="N24" s="19"/>
      <c r="O24" s="19"/>
      <c r="P24" s="19"/>
      <c r="Q24" s="19"/>
    </row>
    <row r="25" ht="15.75" customHeight="1">
      <c r="A25" s="20" t="s">
        <v>30</v>
      </c>
      <c r="B25" s="38" t="s">
        <v>31</v>
      </c>
      <c r="C25" s="21" t="s">
        <v>27</v>
      </c>
      <c r="D25" s="19" t="s">
        <v>28</v>
      </c>
      <c r="E25" s="22">
        <v>27.0</v>
      </c>
      <c r="F25" s="21">
        <v>100.0</v>
      </c>
      <c r="G25" s="20">
        <v>375.0</v>
      </c>
      <c r="H25" s="22">
        <f t="shared" si="3"/>
        <v>37500</v>
      </c>
      <c r="K25" s="19"/>
      <c r="L25" s="41"/>
      <c r="M25" s="39"/>
      <c r="N25" s="7"/>
      <c r="O25" s="26"/>
      <c r="P25" s="31"/>
      <c r="Q25" s="19"/>
    </row>
    <row r="26" ht="15.75" customHeight="1">
      <c r="A26" s="35" t="s">
        <v>16</v>
      </c>
      <c r="B26" s="35"/>
      <c r="C26" s="35"/>
      <c r="D26" s="35"/>
      <c r="E26" s="35">
        <f>sum(E18:E23)</f>
        <v>108</v>
      </c>
      <c r="F26" s="35">
        <f>SUM(F18:F23)</f>
        <v>365</v>
      </c>
      <c r="G26" s="35"/>
      <c r="H26" s="35">
        <f>sum(H18:H25)</f>
        <v>241875</v>
      </c>
      <c r="I26" s="42" t="s">
        <v>32</v>
      </c>
      <c r="J26" s="4"/>
      <c r="K26" s="31"/>
      <c r="L26" s="31"/>
      <c r="M26" s="19"/>
      <c r="N26" s="19"/>
      <c r="O26" s="19"/>
      <c r="P26" s="19"/>
      <c r="Q26" s="19"/>
    </row>
    <row r="27" ht="15.75" customHeight="1">
      <c r="H27" s="43">
        <f>I27*0.925</f>
        <v>246605</v>
      </c>
      <c r="I27" s="44">
        <f>H2-H4-H7</f>
        <v>266600</v>
      </c>
      <c r="J27" s="4"/>
      <c r="K27" s="31"/>
      <c r="L27" s="31"/>
      <c r="M27" s="19"/>
      <c r="N27" s="19"/>
      <c r="O27" s="19"/>
      <c r="P27" s="19"/>
      <c r="Q27" s="19"/>
    </row>
    <row r="28" ht="15.75" customHeight="1">
      <c r="J28" s="4"/>
      <c r="K28" s="4"/>
      <c r="L28" s="4"/>
    </row>
    <row r="29" ht="15.75" customHeight="1">
      <c r="A29" s="45" t="s">
        <v>33</v>
      </c>
      <c r="B29" s="45"/>
      <c r="C29" s="45"/>
      <c r="D29" s="45"/>
      <c r="E29" s="45"/>
      <c r="F29" s="46"/>
      <c r="G29" s="46"/>
      <c r="H29" s="47"/>
      <c r="J29" s="4"/>
      <c r="K29" s="4"/>
      <c r="L29" s="4"/>
    </row>
    <row r="30" ht="15.75" customHeight="1">
      <c r="A30" s="45"/>
      <c r="B30" s="45"/>
      <c r="C30" s="45"/>
      <c r="D30" s="45"/>
      <c r="E30" s="46" t="s">
        <v>9</v>
      </c>
      <c r="F30" s="46" t="s">
        <v>10</v>
      </c>
      <c r="G30" s="46" t="s">
        <v>34</v>
      </c>
      <c r="H30" s="47"/>
      <c r="J30" s="4"/>
      <c r="K30" s="4"/>
      <c r="L30" s="4"/>
    </row>
    <row r="31" ht="15.75" customHeight="1">
      <c r="A31" s="45"/>
      <c r="B31" s="45"/>
      <c r="C31" s="45"/>
      <c r="D31" s="45"/>
      <c r="E31" s="45">
        <f t="shared" ref="E31:F31" si="4">(E13+E26)*1000</f>
        <v>579041.6667</v>
      </c>
      <c r="F31" s="48">
        <f t="shared" si="4"/>
        <v>2249166.667</v>
      </c>
      <c r="G31" s="48">
        <f>(H2/F31)*1000</f>
        <v>222.3045572</v>
      </c>
      <c r="H31" s="47"/>
      <c r="J31" s="4"/>
      <c r="K31" s="4"/>
      <c r="L31" s="4"/>
    </row>
    <row r="32" ht="15.75" customHeight="1">
      <c r="A32" s="6"/>
      <c r="B32" s="4"/>
      <c r="C32" s="4"/>
      <c r="D32" s="4"/>
      <c r="E32" s="4"/>
      <c r="F32" s="4"/>
      <c r="G32" s="49"/>
      <c r="H32" s="50"/>
      <c r="I32" s="4"/>
      <c r="J32" s="4"/>
      <c r="K32" s="4"/>
      <c r="L32" s="4"/>
    </row>
    <row r="33" ht="15.75" customHeight="1">
      <c r="A33" s="4"/>
      <c r="B33" s="51"/>
      <c r="C33" s="51"/>
      <c r="D33" s="51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4"/>
      <c r="C37" s="4"/>
      <c r="D37" s="4"/>
      <c r="E37" s="6"/>
      <c r="F37" s="6"/>
      <c r="G37" s="6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6"/>
      <c r="B41" s="50"/>
      <c r="C41" s="50"/>
      <c r="D41" s="50"/>
      <c r="E41" s="4"/>
      <c r="F41" s="4"/>
      <c r="G41" s="4"/>
      <c r="H41" s="4"/>
      <c r="I41" s="4"/>
      <c r="J41" s="4"/>
      <c r="K41" s="4"/>
      <c r="L41" s="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500000.0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160826.0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0.321652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70000.0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52">
        <f>H7/H2</f>
        <v>0.14</v>
      </c>
      <c r="I8" s="53"/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12.0</v>
      </c>
      <c r="C10" s="20">
        <v>2000.0</v>
      </c>
      <c r="D10" s="22"/>
      <c r="E10" s="22"/>
      <c r="F10" s="22"/>
      <c r="G10" s="22"/>
      <c r="H10" s="22">
        <f>B10*C10</f>
        <v>24000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2"/>
      <c r="C11" s="22"/>
      <c r="D11" s="20" t="s">
        <v>14</v>
      </c>
      <c r="E11" s="23">
        <f t="shared" ref="E11:E13" si="1">F11*0.25</f>
        <v>244375</v>
      </c>
      <c r="F11" s="23">
        <f t="shared" ref="F11:F12" si="2">sum(1000*H11)/G11*0.85</f>
        <v>977500</v>
      </c>
      <c r="G11" s="24">
        <v>20.0</v>
      </c>
      <c r="H11" s="25">
        <v>23000.0</v>
      </c>
      <c r="K11" s="19"/>
      <c r="L11" s="19"/>
      <c r="M11" s="19"/>
      <c r="N11" s="19"/>
      <c r="O11" s="19"/>
      <c r="P11" s="19"/>
      <c r="Q11" s="19"/>
    </row>
    <row r="12" ht="15.75" customHeight="1">
      <c r="A12" s="20" t="s">
        <v>15</v>
      </c>
      <c r="B12" s="22"/>
      <c r="C12" s="22"/>
      <c r="D12" s="20" t="s">
        <v>14</v>
      </c>
      <c r="E12" s="23">
        <f t="shared" si="1"/>
        <v>325833.3333</v>
      </c>
      <c r="F12" s="23">
        <f t="shared" si="2"/>
        <v>1303333.333</v>
      </c>
      <c r="G12" s="24">
        <v>15.0</v>
      </c>
      <c r="H12" s="25">
        <v>23000.0</v>
      </c>
      <c r="I12" s="26"/>
      <c r="K12" s="19"/>
      <c r="L12" s="19"/>
      <c r="M12" s="19"/>
      <c r="N12" s="19"/>
      <c r="O12" s="19"/>
      <c r="P12" s="19"/>
      <c r="Q12" s="19"/>
    </row>
    <row r="13" ht="15.75" customHeight="1">
      <c r="A13" s="14" t="s">
        <v>16</v>
      </c>
      <c r="B13" s="14"/>
      <c r="C13" s="14"/>
      <c r="D13" s="14"/>
      <c r="E13" s="27">
        <f t="shared" si="1"/>
        <v>570.2083333</v>
      </c>
      <c r="F13" s="28">
        <f>sum(F10:F12)/1000</f>
        <v>2280.833333</v>
      </c>
      <c r="G13" s="29"/>
      <c r="H13" s="30">
        <f>sum(H10:H12)</f>
        <v>70000</v>
      </c>
      <c r="I13" s="31"/>
      <c r="K13" s="19"/>
      <c r="L13" s="19"/>
      <c r="M13" s="19"/>
      <c r="N13" s="19"/>
      <c r="O13" s="19"/>
      <c r="P13" s="19"/>
      <c r="Q13" s="19"/>
    </row>
    <row r="14" ht="15.75" customHeight="1">
      <c r="A14" s="18" t="s">
        <v>4</v>
      </c>
      <c r="B14" s="14"/>
      <c r="C14" s="14"/>
      <c r="D14" s="14"/>
      <c r="E14" s="32"/>
      <c r="F14" s="33"/>
      <c r="G14" s="29"/>
      <c r="H14" s="34">
        <f>H13/H2</f>
        <v>0.14</v>
      </c>
      <c r="I14" s="31"/>
      <c r="K14" s="19"/>
      <c r="L14" s="19"/>
      <c r="M14" s="19"/>
      <c r="N14" s="19"/>
      <c r="O14" s="19"/>
      <c r="P14" s="19"/>
      <c r="Q14" s="19"/>
    </row>
    <row r="15" ht="15.75" customHeight="1">
      <c r="I15" s="19"/>
      <c r="K15" s="19"/>
      <c r="L15" s="19"/>
      <c r="M15" s="19"/>
      <c r="N15" s="19"/>
      <c r="O15" s="19"/>
      <c r="P15" s="19"/>
      <c r="Q15" s="19"/>
    </row>
    <row r="16" ht="15.75" customHeight="1">
      <c r="A16" s="35" t="s">
        <v>17</v>
      </c>
      <c r="B16" s="35"/>
      <c r="C16" s="35"/>
      <c r="D16" s="35"/>
      <c r="E16" s="35"/>
      <c r="F16" s="35"/>
      <c r="G16" s="35"/>
      <c r="H16" s="35"/>
      <c r="I16" s="36"/>
      <c r="K16" s="19"/>
      <c r="L16" s="19"/>
      <c r="M16" s="19"/>
      <c r="N16" s="19"/>
      <c r="O16" s="19"/>
      <c r="P16" s="19"/>
      <c r="Q16" s="19"/>
    </row>
    <row r="17" ht="15.75" customHeight="1">
      <c r="A17" s="37" t="s">
        <v>18</v>
      </c>
      <c r="B17" s="37" t="s">
        <v>19</v>
      </c>
      <c r="C17" s="37" t="s">
        <v>20</v>
      </c>
      <c r="D17" s="37" t="s">
        <v>21</v>
      </c>
      <c r="E17" s="37" t="s">
        <v>9</v>
      </c>
      <c r="F17" s="37" t="s">
        <v>22</v>
      </c>
      <c r="G17" s="37" t="s">
        <v>23</v>
      </c>
      <c r="H17" s="37" t="s">
        <v>24</v>
      </c>
      <c r="I17" s="36"/>
      <c r="K17" s="19"/>
      <c r="L17" s="19"/>
      <c r="M17" s="19"/>
      <c r="N17" s="19"/>
      <c r="O17" s="19"/>
      <c r="P17" s="19"/>
      <c r="Q17" s="19"/>
    </row>
    <row r="18" ht="15.75" customHeight="1">
      <c r="A18" s="20" t="s">
        <v>25</v>
      </c>
      <c r="B18" s="54" t="s">
        <v>35</v>
      </c>
      <c r="C18" s="21" t="s">
        <v>36</v>
      </c>
      <c r="D18" s="19" t="s">
        <v>28</v>
      </c>
      <c r="E18" s="22">
        <v>9.0</v>
      </c>
      <c r="F18" s="21">
        <v>35.0</v>
      </c>
      <c r="G18" s="20">
        <v>500.0</v>
      </c>
      <c r="H18" s="22">
        <f t="shared" ref="H18:H29" si="3">F18*G18</f>
        <v>17500</v>
      </c>
      <c r="K18" s="19"/>
      <c r="L18" s="31"/>
      <c r="M18" s="31"/>
      <c r="N18" s="7"/>
      <c r="O18" s="26"/>
      <c r="P18" s="31"/>
      <c r="Q18" s="19"/>
    </row>
    <row r="19" ht="15.75" customHeight="1">
      <c r="A19" s="20" t="s">
        <v>25</v>
      </c>
      <c r="B19" s="54" t="s">
        <v>35</v>
      </c>
      <c r="C19" s="21" t="s">
        <v>36</v>
      </c>
      <c r="D19" s="19" t="s">
        <v>28</v>
      </c>
      <c r="E19" s="22">
        <v>15.0</v>
      </c>
      <c r="F19" s="21">
        <v>35.0</v>
      </c>
      <c r="G19" s="20">
        <v>500.0</v>
      </c>
      <c r="H19" s="22">
        <f t="shared" si="3"/>
        <v>17500</v>
      </c>
      <c r="K19" s="19"/>
      <c r="L19" s="39"/>
      <c r="M19" s="39"/>
      <c r="N19" s="24"/>
      <c r="O19" s="26"/>
      <c r="P19" s="26"/>
      <c r="Q19" s="19"/>
    </row>
    <row r="20" ht="15.75" customHeight="1">
      <c r="A20" s="20" t="s">
        <v>25</v>
      </c>
      <c r="B20" s="55" t="s">
        <v>26</v>
      </c>
      <c r="C20" s="21" t="s">
        <v>36</v>
      </c>
      <c r="D20" s="19" t="s">
        <v>28</v>
      </c>
      <c r="E20" s="22">
        <v>15.0</v>
      </c>
      <c r="F20" s="21">
        <v>40.0</v>
      </c>
      <c r="G20" s="20">
        <v>500.0</v>
      </c>
      <c r="H20" s="22">
        <f t="shared" si="3"/>
        <v>20000</v>
      </c>
      <c r="K20" s="19"/>
      <c r="L20" s="39"/>
      <c r="M20" s="39"/>
      <c r="N20" s="24"/>
      <c r="O20" s="26"/>
      <c r="P20" s="26"/>
      <c r="Q20" s="19"/>
    </row>
    <row r="21" ht="15.75" customHeight="1">
      <c r="A21" s="20" t="s">
        <v>25</v>
      </c>
      <c r="B21" s="55" t="s">
        <v>26</v>
      </c>
      <c r="C21" s="21" t="s">
        <v>36</v>
      </c>
      <c r="D21" s="19" t="s">
        <v>28</v>
      </c>
      <c r="E21" s="22">
        <v>15.0</v>
      </c>
      <c r="F21" s="21">
        <v>40.0</v>
      </c>
      <c r="G21" s="20">
        <v>500.0</v>
      </c>
      <c r="H21" s="22">
        <f t="shared" si="3"/>
        <v>20000</v>
      </c>
      <c r="K21" s="19"/>
      <c r="L21" s="39"/>
      <c r="M21" s="39"/>
      <c r="N21" s="24"/>
      <c r="O21" s="26"/>
      <c r="P21" s="26"/>
      <c r="Q21" s="19"/>
    </row>
    <row r="22" ht="15.75" customHeight="1">
      <c r="A22" s="20" t="s">
        <v>25</v>
      </c>
      <c r="B22" s="55" t="s">
        <v>37</v>
      </c>
      <c r="C22" s="21" t="s">
        <v>36</v>
      </c>
      <c r="D22" s="19" t="s">
        <v>28</v>
      </c>
      <c r="E22" s="22">
        <v>15.0</v>
      </c>
      <c r="F22" s="21">
        <v>56.0</v>
      </c>
      <c r="G22" s="20">
        <v>500.0</v>
      </c>
      <c r="H22" s="22">
        <f t="shared" si="3"/>
        <v>28000</v>
      </c>
      <c r="K22" s="19"/>
      <c r="L22" s="39"/>
      <c r="M22" s="39"/>
      <c r="N22" s="24"/>
      <c r="O22" s="26"/>
      <c r="P22" s="26"/>
      <c r="Q22" s="19"/>
    </row>
    <row r="23" ht="15.75" customHeight="1">
      <c r="A23" s="20" t="s">
        <v>25</v>
      </c>
      <c r="B23" s="55" t="s">
        <v>37</v>
      </c>
      <c r="C23" s="21" t="s">
        <v>36</v>
      </c>
      <c r="D23" s="19" t="s">
        <v>28</v>
      </c>
      <c r="E23" s="22">
        <v>15.0</v>
      </c>
      <c r="F23" s="21">
        <v>56.0</v>
      </c>
      <c r="G23" s="20">
        <v>500.0</v>
      </c>
      <c r="H23" s="22">
        <f t="shared" si="3"/>
        <v>28000</v>
      </c>
      <c r="K23" s="19"/>
      <c r="L23" s="39"/>
      <c r="M23" s="39"/>
      <c r="N23" s="24"/>
      <c r="O23" s="26"/>
      <c r="P23" s="26"/>
      <c r="Q23" s="19"/>
    </row>
    <row r="24" ht="15.75" customHeight="1">
      <c r="A24" s="20" t="s">
        <v>30</v>
      </c>
      <c r="B24" s="54" t="s">
        <v>35</v>
      </c>
      <c r="C24" s="21" t="s">
        <v>36</v>
      </c>
      <c r="D24" s="19" t="s">
        <v>28</v>
      </c>
      <c r="E24" s="22">
        <v>27.0</v>
      </c>
      <c r="F24" s="21">
        <v>30.0</v>
      </c>
      <c r="G24" s="20">
        <v>375.0</v>
      </c>
      <c r="H24" s="22">
        <f t="shared" si="3"/>
        <v>11250</v>
      </c>
      <c r="J24" s="4"/>
      <c r="K24" s="40"/>
      <c r="L24" s="26"/>
      <c r="M24" s="19"/>
      <c r="N24" s="19"/>
      <c r="O24" s="19"/>
      <c r="P24" s="19"/>
      <c r="Q24" s="19"/>
    </row>
    <row r="25" ht="15.75" customHeight="1">
      <c r="A25" s="20" t="s">
        <v>30</v>
      </c>
      <c r="B25" s="54" t="s">
        <v>35</v>
      </c>
      <c r="C25" s="21" t="s">
        <v>36</v>
      </c>
      <c r="D25" s="19" t="s">
        <v>28</v>
      </c>
      <c r="E25" s="22">
        <v>27.0</v>
      </c>
      <c r="F25" s="21">
        <v>30.0</v>
      </c>
      <c r="G25" s="20">
        <v>375.0</v>
      </c>
      <c r="H25" s="22">
        <f t="shared" si="3"/>
        <v>11250</v>
      </c>
      <c r="K25" s="19"/>
      <c r="L25" s="41"/>
      <c r="M25" s="39"/>
      <c r="N25" s="7"/>
      <c r="O25" s="26"/>
      <c r="P25" s="31"/>
      <c r="Q25" s="19"/>
    </row>
    <row r="26" ht="15.75" customHeight="1">
      <c r="A26" s="20" t="s">
        <v>30</v>
      </c>
      <c r="B26" s="54" t="s">
        <v>35</v>
      </c>
      <c r="C26" s="21" t="s">
        <v>36</v>
      </c>
      <c r="D26" s="19" t="s">
        <v>28</v>
      </c>
      <c r="E26" s="22">
        <v>27.0</v>
      </c>
      <c r="F26" s="21">
        <v>50.0</v>
      </c>
      <c r="G26" s="20">
        <v>375.0</v>
      </c>
      <c r="H26" s="22">
        <f t="shared" si="3"/>
        <v>18750</v>
      </c>
      <c r="J26" s="4"/>
      <c r="K26" s="40"/>
      <c r="L26" s="26"/>
      <c r="M26" s="19"/>
      <c r="N26" s="19"/>
      <c r="O26" s="19"/>
      <c r="P26" s="19"/>
      <c r="Q26" s="19"/>
    </row>
    <row r="27" ht="15.75" customHeight="1">
      <c r="A27" s="20" t="s">
        <v>30</v>
      </c>
      <c r="B27" s="55" t="s">
        <v>37</v>
      </c>
      <c r="C27" s="21" t="s">
        <v>36</v>
      </c>
      <c r="D27" s="19" t="s">
        <v>28</v>
      </c>
      <c r="E27" s="22">
        <v>27.0</v>
      </c>
      <c r="F27" s="21">
        <v>64.0</v>
      </c>
      <c r="G27" s="20">
        <v>375.0</v>
      </c>
      <c r="H27" s="22">
        <f t="shared" si="3"/>
        <v>24000</v>
      </c>
      <c r="K27" s="19"/>
      <c r="L27" s="41"/>
      <c r="M27" s="39"/>
      <c r="N27" s="7"/>
      <c r="O27" s="26"/>
      <c r="P27" s="31"/>
      <c r="Q27" s="19"/>
    </row>
    <row r="28" ht="15.75" customHeight="1">
      <c r="A28" s="20" t="s">
        <v>30</v>
      </c>
      <c r="B28" s="54" t="s">
        <v>37</v>
      </c>
      <c r="C28" s="21" t="s">
        <v>36</v>
      </c>
      <c r="D28" s="19" t="s">
        <v>28</v>
      </c>
      <c r="E28" s="22">
        <v>27.0</v>
      </c>
      <c r="F28" s="21">
        <v>64.0</v>
      </c>
      <c r="G28" s="20">
        <v>375.0</v>
      </c>
      <c r="H28" s="22">
        <f t="shared" si="3"/>
        <v>24000</v>
      </c>
      <c r="J28" s="4"/>
      <c r="K28" s="40"/>
      <c r="L28" s="26"/>
      <c r="M28" s="19"/>
      <c r="N28" s="19"/>
      <c r="O28" s="19"/>
      <c r="P28" s="19"/>
      <c r="Q28" s="19"/>
    </row>
    <row r="29" ht="15.75" customHeight="1">
      <c r="A29" s="20" t="s">
        <v>30</v>
      </c>
      <c r="B29" s="54" t="s">
        <v>37</v>
      </c>
      <c r="C29" s="21" t="s">
        <v>36</v>
      </c>
      <c r="D29" s="19" t="s">
        <v>28</v>
      </c>
      <c r="E29" s="22">
        <v>27.0</v>
      </c>
      <c r="F29" s="21">
        <v>64.0</v>
      </c>
      <c r="G29" s="20">
        <v>375.0</v>
      </c>
      <c r="H29" s="22">
        <f t="shared" si="3"/>
        <v>24000</v>
      </c>
      <c r="K29" s="19"/>
      <c r="L29" s="41"/>
      <c r="M29" s="39"/>
      <c r="N29" s="7"/>
      <c r="O29" s="26"/>
      <c r="P29" s="31"/>
      <c r="Q29" s="19"/>
    </row>
    <row r="30" ht="15.75" customHeight="1">
      <c r="A30" s="35" t="s">
        <v>16</v>
      </c>
      <c r="B30" s="35"/>
      <c r="C30" s="35"/>
      <c r="D30" s="35"/>
      <c r="E30" s="35">
        <f>sum(E18:E29)</f>
        <v>246</v>
      </c>
      <c r="F30" s="35">
        <f>SUM(F18:F29)</f>
        <v>564</v>
      </c>
      <c r="G30" s="35"/>
      <c r="H30" s="35">
        <f>sum(H18:H29)</f>
        <v>244250</v>
      </c>
      <c r="I30" s="42" t="s">
        <v>32</v>
      </c>
      <c r="J30" s="4"/>
      <c r="K30" s="31"/>
      <c r="L30" s="31"/>
      <c r="M30" s="19"/>
      <c r="N30" s="19"/>
      <c r="O30" s="19"/>
      <c r="P30" s="19"/>
      <c r="Q30" s="19"/>
    </row>
    <row r="31" ht="15.75" customHeight="1">
      <c r="A31" s="56">
        <f>counta(A18:A29)</f>
        <v>12</v>
      </c>
      <c r="H31" s="43">
        <f>I31*0.925</f>
        <v>248985.95</v>
      </c>
      <c r="I31" s="44">
        <f>H2-H4-H7</f>
        <v>269174</v>
      </c>
      <c r="J31" s="4"/>
      <c r="K31" s="31"/>
      <c r="L31" s="31"/>
      <c r="M31" s="19"/>
      <c r="N31" s="19"/>
      <c r="O31" s="19"/>
      <c r="P31" s="19"/>
      <c r="Q31" s="19"/>
    </row>
    <row r="32" ht="15.75" customHeight="1">
      <c r="J32" s="4"/>
      <c r="K32" s="4"/>
      <c r="L32" s="4"/>
    </row>
    <row r="33" ht="15.75" customHeight="1">
      <c r="A33" s="45" t="s">
        <v>33</v>
      </c>
      <c r="B33" s="45"/>
      <c r="C33" s="45"/>
      <c r="D33" s="45"/>
      <c r="E33" s="45"/>
      <c r="F33" s="46"/>
      <c r="G33" s="46"/>
      <c r="H33" s="47"/>
      <c r="J33" s="4"/>
      <c r="K33" s="4"/>
      <c r="L33" s="4"/>
    </row>
    <row r="34" ht="15.75" customHeight="1">
      <c r="A34" s="45"/>
      <c r="B34" s="45"/>
      <c r="C34" s="45"/>
      <c r="D34" s="45"/>
      <c r="E34" s="46" t="s">
        <v>9</v>
      </c>
      <c r="F34" s="46" t="s">
        <v>10</v>
      </c>
      <c r="G34" s="46" t="s">
        <v>34</v>
      </c>
      <c r="H34" s="47"/>
      <c r="J34" s="4"/>
      <c r="K34" s="4"/>
      <c r="L34" s="4"/>
    </row>
    <row r="35" ht="15.75" customHeight="1">
      <c r="A35" s="45"/>
      <c r="B35" s="45"/>
      <c r="C35" s="45"/>
      <c r="D35" s="45"/>
      <c r="E35" s="45">
        <f t="shared" ref="E35:F35" si="4">(E13+E30)*1000</f>
        <v>816208.3333</v>
      </c>
      <c r="F35" s="57">
        <f t="shared" si="4"/>
        <v>2844833.333</v>
      </c>
      <c r="G35" s="48">
        <f>(H2/F35)*1000</f>
        <v>175.7572207</v>
      </c>
      <c r="H35" s="47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9"/>
      <c r="H36" s="50"/>
      <c r="I36" s="4"/>
      <c r="J36" s="4"/>
      <c r="K36" s="4"/>
      <c r="L36" s="4"/>
    </row>
    <row r="37" ht="15.75" customHeight="1">
      <c r="A37" s="4"/>
      <c r="B37" s="51"/>
      <c r="C37" s="51"/>
      <c r="D37" s="51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6"/>
      <c r="B41" s="4"/>
      <c r="C41" s="4"/>
      <c r="D41" s="4"/>
      <c r="E41" s="6"/>
      <c r="F41" s="6"/>
      <c r="G41" s="6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6"/>
      <c r="B45" s="50"/>
      <c r="C45" s="50"/>
      <c r="D45" s="50"/>
      <c r="E45" s="4"/>
      <c r="F45" s="4"/>
      <c r="G45" s="4"/>
      <c r="H45" s="4"/>
      <c r="I45" s="4"/>
      <c r="J45" s="4"/>
      <c r="K45" s="4"/>
      <c r="L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drawing r:id="rId1"/>
</worksheet>
</file>