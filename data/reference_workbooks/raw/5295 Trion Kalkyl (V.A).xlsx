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alkylmall Org." sheetId="1" r:id="rId4"/>
    <sheet state="visible" name="Kalkylmall Paid + Org." sheetId="2" r:id="rId5"/>
  </sheets>
  <definedNames/>
  <calcPr/>
  <extLst>
    <ext uri="GoogleSheetsCustomDataVersion2">
      <go:sheetsCustomData xmlns:go="http://customooxmlschemas.google.com/" r:id="rId6" roundtripDataChecksum="929PE021ILRI0uJEe9P6+47eXk3QqGoDxO73lgSY+l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ID#AAAB3XtwjJ4
Viola Arrfors    (2026-04-17 10:03:15)
Exkl hantering av videos för kunds kanaler</t>
      </text>
    </comment>
    <comment authorId="0" ref="B10">
      <text>
        <t xml:space="preserve">======
ID#AAAB3W1YWGQ
Viola Arrfors    (2026-04-17 06:49:24)
Bästa videon per profil boostas</t>
      </text>
    </comment>
  </commentList>
  <extLst>
    <ext uri="GoogleSheetsCustomDataVersion2">
      <go:sheetsCustomData xmlns:go="http://customooxmlschemas.google.com/" r:id="rId1" roundtripDataSignature="AMtx7mg0u6tWQY2NVySz5DEhNX/CghfWjQ=="/>
    </ext>
  </extLst>
</comments>
</file>

<file path=xl/sharedStrings.xml><?xml version="1.0" encoding="utf-8"?>
<sst xmlns="http://schemas.openxmlformats.org/spreadsheetml/2006/main" count="71" uniqueCount="40">
  <si>
    <t>Valuta</t>
  </si>
  <si>
    <t>SEK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</si>
  <si>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</si>
  <si>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</si>
  <si>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</si>
  <si>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</si>
  <si>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</si>
  <si>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</si>
  <si>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</si>
  <si>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</si>
  <si>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</si>
  <si>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</si>
  <si>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</si>
  <si>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Profie fee</t>
  </si>
  <si>
    <t>Profile á xxK</t>
  </si>
  <si>
    <t>Total</t>
  </si>
  <si>
    <t>inkl 7,5%</t>
  </si>
  <si>
    <t>TOTAL CAMPAIGN</t>
  </si>
  <si>
    <t>Reach</t>
  </si>
  <si>
    <t>Impressions</t>
  </si>
  <si>
    <t>CPM</t>
  </si>
  <si>
    <t>EUR</t>
  </si>
  <si>
    <t>Paid</t>
  </si>
  <si>
    <t>Antal annonser</t>
  </si>
  <si>
    <t>Pris per annons</t>
  </si>
  <si>
    <t>Målsättning</t>
  </si>
  <si>
    <t>CPM (paid)</t>
  </si>
  <si>
    <t>SmartOn/Nine Agency hantering</t>
  </si>
  <si>
    <t>Media spend Meta</t>
  </si>
  <si>
    <t>räckvidd</t>
  </si>
  <si>
    <t>Media spend TikTok</t>
  </si>
  <si>
    <t>Totalt profilarvode:</t>
  </si>
  <si>
    <t>Egna kanaler</t>
  </si>
  <si>
    <t>1 year</t>
  </si>
  <si>
    <t>Skyshowtime kanaler</t>
  </si>
  <si>
    <t>–</t>
  </si>
  <si>
    <t>4 videos á €350</t>
  </si>
  <si>
    <t>ink.</t>
  </si>
  <si>
    <t>Community management</t>
  </si>
  <si>
    <t>10h á €50/h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</si>
</sst>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 ### ##0"/>
    <numFmt numFmtId="165" formatCode="0.0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i/>
      <color rgb="FF666666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0" fontId="1" numFmtId="0" xfId="0" applyFont="1"/>
    <xf borderId="0" fillId="3" fontId="2" numFmtId="0" xfId="0" applyFont="1"/>
    <xf borderId="0" fillId="5" fontId="3" numFmtId="0" xfId="0" applyFont="1"/>
    <xf borderId="0" fillId="0" fontId="2" numFmtId="0" xfId="0" applyFont="1"/>
    <xf borderId="0" fillId="6" fontId="2" numFmtId="0" xfId="0" applyFill="1" applyFont="1"/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3" fontId="2" numFmtId="1" xfId="0" applyAlignment="1" applyFont="1" applyNumberFormat="1">
      <alignment vertical="bottom"/>
    </xf>
    <xf borderId="0" fillId="3" fontId="1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Font="1"/>
    <xf borderId="0" fillId="7" fontId="1" numFmtId="0" xfId="0" applyFill="1" applyFont="1"/>
    <xf borderId="0" fillId="7" fontId="3" numFmtId="0" xfId="0" applyFont="1"/>
    <xf borderId="0" fillId="7" fontId="2" numFmtId="0" xfId="0" applyFont="1"/>
    <xf borderId="0" fillId="7" fontId="6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4" fontId="1" numFmtId="1" xfId="0" applyAlignment="1" applyFont="1" applyNumberFormat="1">
      <alignment readingOrder="0"/>
    </xf>
    <xf borderId="0" fillId="0" fontId="7" numFmtId="1" xfId="0" applyFont="1" applyNumberFormat="1"/>
    <xf borderId="0" fillId="8" fontId="1" numFmtId="0" xfId="0" applyFill="1" applyFont="1"/>
    <xf borderId="0" fillId="8" fontId="1" numFmtId="0" xfId="0" applyAlignment="1" applyFont="1">
      <alignment readingOrder="0"/>
    </xf>
    <xf borderId="0" fillId="8" fontId="2" numFmtId="0" xfId="0" applyFont="1"/>
    <xf borderId="0" fillId="8" fontId="3" numFmtId="10" xfId="0" applyFont="1" applyNumberFormat="1"/>
    <xf borderId="0" fillId="8" fontId="3" numFmtId="0" xfId="0" applyFont="1"/>
    <xf borderId="0" fillId="0" fontId="2" numFmtId="0" xfId="0" applyAlignment="1" applyFont="1">
      <alignment readingOrder="0"/>
    </xf>
    <xf borderId="0" fillId="6" fontId="2" numFmtId="1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8" fontId="1" numFmtId="1" xfId="0" applyAlignment="1" applyFont="1" applyNumberFormat="1">
      <alignment vertical="bottom"/>
    </xf>
    <xf borderId="0" fillId="8" fontId="1" numFmtId="1" xfId="0" applyAlignment="1" applyFont="1" applyNumberFormat="1">
      <alignment horizontal="right" vertical="bottom"/>
    </xf>
    <xf borderId="0" fillId="8" fontId="2" numFmtId="164" xfId="0" applyAlignment="1" applyFont="1" applyNumberFormat="1">
      <alignment vertical="bottom"/>
    </xf>
    <xf borderId="0" fillId="8" fontId="1" numFmtId="0" xfId="0" applyAlignment="1" applyFont="1">
      <alignment horizontal="right" vertical="bottom"/>
    </xf>
    <xf borderId="0" fillId="8" fontId="2" numFmtId="1" xfId="0" applyAlignment="1" applyFont="1" applyNumberFormat="1">
      <alignment vertical="bottom"/>
    </xf>
    <xf borderId="0" fillId="8" fontId="2" numFmtId="1" xfId="0" applyAlignment="1" applyFont="1" applyNumberFormat="1">
      <alignment horizontal="right" vertical="bottom"/>
    </xf>
    <xf borderId="0" fillId="8" fontId="3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1" xfId="0" applyFont="1" applyNumberFormat="1"/>
    <xf borderId="0" fillId="0" fontId="2" numFmtId="1" xfId="0" applyAlignment="1" applyFont="1" applyNumberFormat="1">
      <alignment readingOrder="0"/>
    </xf>
    <xf borderId="0" fillId="6" fontId="2" numFmtId="1" xfId="0" applyFont="1" applyNumberFormat="1"/>
    <xf borderId="0" fillId="5" fontId="8" numFmtId="1" xfId="0" applyFont="1" applyNumberFormat="1"/>
    <xf borderId="0" fillId="6" fontId="2" numFmtId="0" xfId="0" applyAlignment="1" applyFont="1">
      <alignment readingOrder="0"/>
    </xf>
    <xf borderId="0" fillId="5" fontId="1" numFmtId="1" xfId="0" applyFont="1" applyNumberFormat="1"/>
    <xf borderId="0" fillId="0" fontId="4" numFmtId="165" xfId="0" applyFont="1" applyNumberFormat="1"/>
    <xf borderId="0" fillId="0" fontId="5" numFmtId="1" xfId="0" applyFont="1" applyNumberFormat="1"/>
    <xf borderId="0" fillId="0" fontId="9" numFmtId="0" xfId="0" applyAlignment="1" applyFont="1">
      <alignment horizontal="right"/>
    </xf>
    <xf borderId="0" fillId="0" fontId="9" numFmtId="1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1">
        <v>0.0</v>
      </c>
      <c r="I2" s="4"/>
      <c r="J2" s="4"/>
      <c r="K2" s="4"/>
      <c r="L2" s="4"/>
    </row>
    <row r="3" ht="15.75" customHeight="1">
      <c r="A3" s="5"/>
      <c r="B3" s="4"/>
      <c r="C3" s="4"/>
      <c r="D3" s="4"/>
      <c r="E3" s="4"/>
      <c r="F3" s="4"/>
      <c r="G3" s="6"/>
      <c r="H3" s="4"/>
      <c r="I3" s="4"/>
      <c r="J3" s="4"/>
      <c r="K3" s="4"/>
      <c r="L3" s="4"/>
    </row>
    <row r="4" ht="15.75" customHeight="1">
      <c r="A4" s="7" t="s">
        <v>3</v>
      </c>
      <c r="B4" s="8"/>
      <c r="C4" s="8"/>
      <c r="D4" s="8"/>
      <c r="E4" s="8"/>
      <c r="F4" s="8"/>
      <c r="G4" s="8"/>
      <c r="H4" s="7">
        <v>0.0</v>
      </c>
    </row>
    <row r="5" ht="15.75" customHeight="1">
      <c r="A5" s="9" t="s">
        <v>4</v>
      </c>
      <c r="B5" s="8"/>
      <c r="C5" s="8"/>
      <c r="D5" s="8"/>
      <c r="E5" s="8"/>
      <c r="F5" s="8"/>
      <c r="G5" s="8"/>
      <c r="H5" s="10" t="str">
        <f>H4/H2</f>
        <v>#DIV/0!</v>
      </c>
    </row>
    <row r="6" ht="15.75" customHeight="1">
      <c r="H6" s="11"/>
    </row>
    <row r="7" ht="15.75" customHeight="1">
      <c r="A7" s="12" t="s">
        <v>5</v>
      </c>
      <c r="B7" s="12"/>
      <c r="C7" s="12"/>
      <c r="D7" s="12"/>
      <c r="E7" s="12"/>
      <c r="F7" s="12"/>
      <c r="G7" s="12"/>
      <c r="H7" s="12"/>
      <c r="I7" s="13"/>
      <c r="K7" s="14"/>
      <c r="L7" s="14"/>
      <c r="M7" s="14"/>
      <c r="N7" s="14"/>
      <c r="O7" s="14"/>
      <c r="P7" s="14"/>
      <c r="Q7" s="14"/>
    </row>
    <row r="8" ht="15.75" customHeight="1">
      <c r="A8" s="15" t="s">
        <v>6</v>
      </c>
      <c r="B8" s="15" t="s">
        <v>7</v>
      </c>
      <c r="C8" s="15" t="s">
        <v>8</v>
      </c>
      <c r="D8" s="15" t="s">
        <v>9</v>
      </c>
      <c r="E8" s="15" t="s">
        <v>10</v>
      </c>
      <c r="F8" s="15" t="s">
        <v>11</v>
      </c>
      <c r="G8" s="15" t="s">
        <v>12</v>
      </c>
      <c r="H8" s="15" t="s">
        <v>13</v>
      </c>
      <c r="I8" s="13"/>
      <c r="K8" s="14"/>
      <c r="L8" s="14"/>
      <c r="M8" s="14"/>
      <c r="N8" s="14"/>
      <c r="O8" s="14"/>
      <c r="P8" s="14"/>
      <c r="Q8" s="14"/>
    </row>
    <row r="9" ht="15.75" customHeight="1">
      <c r="B9" s="16" t="s">
        <v>14</v>
      </c>
      <c r="C9" s="16"/>
      <c r="D9" s="14"/>
      <c r="E9" s="17">
        <f t="shared" ref="E9:E14" si="1">F9*0.6</f>
        <v>0</v>
      </c>
      <c r="F9" s="16">
        <v>0.0</v>
      </c>
      <c r="G9" s="16">
        <v>400.0</v>
      </c>
      <c r="H9" s="17">
        <f t="shared" ref="H9:H14" si="2">F9*G9</f>
        <v>0</v>
      </c>
      <c r="K9" s="14"/>
      <c r="L9" s="18"/>
      <c r="M9" s="18"/>
      <c r="N9" s="6"/>
      <c r="O9" s="19"/>
      <c r="P9" s="18"/>
      <c r="Q9" s="14"/>
    </row>
    <row r="10" ht="15.75" customHeight="1">
      <c r="B10" s="16" t="s">
        <v>14</v>
      </c>
      <c r="C10" s="16"/>
      <c r="D10" s="14"/>
      <c r="E10" s="17">
        <f t="shared" si="1"/>
        <v>0</v>
      </c>
      <c r="F10" s="16">
        <v>0.0</v>
      </c>
      <c r="G10" s="16">
        <v>400.0</v>
      </c>
      <c r="H10" s="17">
        <f t="shared" si="2"/>
        <v>0</v>
      </c>
      <c r="K10" s="14"/>
      <c r="L10" s="20"/>
      <c r="M10" s="20"/>
      <c r="N10" s="21"/>
      <c r="O10" s="19"/>
      <c r="P10" s="19"/>
      <c r="Q10" s="14"/>
    </row>
    <row r="11" ht="15.75" customHeight="1">
      <c r="B11" s="16" t="s">
        <v>14</v>
      </c>
      <c r="C11" s="16"/>
      <c r="D11" s="14"/>
      <c r="E11" s="17">
        <f t="shared" si="1"/>
        <v>0</v>
      </c>
      <c r="F11" s="16">
        <v>0.0</v>
      </c>
      <c r="G11" s="16">
        <v>400.0</v>
      </c>
      <c r="H11" s="17">
        <f t="shared" si="2"/>
        <v>0</v>
      </c>
      <c r="K11" s="14"/>
      <c r="L11" s="20"/>
      <c r="M11" s="20"/>
      <c r="N11" s="21"/>
      <c r="O11" s="19"/>
      <c r="P11" s="19"/>
      <c r="Q11" s="14"/>
    </row>
    <row r="12" ht="15.75" customHeight="1">
      <c r="B12" s="16" t="s">
        <v>14</v>
      </c>
      <c r="C12" s="16"/>
      <c r="D12" s="14"/>
      <c r="E12" s="17">
        <f t="shared" si="1"/>
        <v>0</v>
      </c>
      <c r="F12" s="16">
        <v>0.0</v>
      </c>
      <c r="G12" s="16">
        <v>300.0</v>
      </c>
      <c r="H12" s="17">
        <f t="shared" si="2"/>
        <v>0</v>
      </c>
      <c r="K12" s="14"/>
      <c r="L12" s="22"/>
      <c r="M12" s="20"/>
      <c r="N12" s="6"/>
      <c r="O12" s="19"/>
      <c r="P12" s="18"/>
      <c r="Q12" s="14"/>
    </row>
    <row r="13" ht="15.75" customHeight="1">
      <c r="B13" s="16" t="s">
        <v>14</v>
      </c>
      <c r="C13" s="16"/>
      <c r="D13" s="14"/>
      <c r="E13" s="17">
        <f t="shared" si="1"/>
        <v>0</v>
      </c>
      <c r="F13" s="16">
        <v>0.0</v>
      </c>
      <c r="G13" s="16">
        <v>300.0</v>
      </c>
      <c r="H13" s="17">
        <f t="shared" si="2"/>
        <v>0</v>
      </c>
      <c r="J13" s="4"/>
      <c r="K13" s="23"/>
      <c r="L13" s="19"/>
      <c r="M13" s="14"/>
      <c r="N13" s="14"/>
      <c r="O13" s="14"/>
      <c r="P13" s="14"/>
      <c r="Q13" s="14"/>
    </row>
    <row r="14" ht="15.75" customHeight="1">
      <c r="B14" s="16" t="s">
        <v>14</v>
      </c>
      <c r="C14" s="16"/>
      <c r="D14" s="14"/>
      <c r="E14" s="17">
        <f t="shared" si="1"/>
        <v>0</v>
      </c>
      <c r="F14" s="16">
        <v>0.0</v>
      </c>
      <c r="G14" s="16">
        <v>300.0</v>
      </c>
      <c r="H14" s="17">
        <f t="shared" si="2"/>
        <v>0</v>
      </c>
      <c r="J14" s="4"/>
      <c r="K14" s="18"/>
      <c r="L14" s="18"/>
      <c r="M14" s="14"/>
      <c r="N14" s="14"/>
      <c r="O14" s="14"/>
      <c r="P14" s="14"/>
      <c r="Q14" s="14"/>
    </row>
    <row r="15" ht="15.75" customHeight="1">
      <c r="A15" s="12" t="s">
        <v>15</v>
      </c>
      <c r="B15" s="12"/>
      <c r="C15" s="12"/>
      <c r="D15" s="12"/>
      <c r="E15" s="12">
        <f>sum(E9:E14)</f>
        <v>0</v>
      </c>
      <c r="F15" s="12">
        <f>SUM(F9:F14)</f>
        <v>0</v>
      </c>
      <c r="G15" s="12"/>
      <c r="H15" s="12">
        <f>sum(H9:H14)</f>
        <v>0</v>
      </c>
      <c r="I15" s="24" t="s">
        <v>16</v>
      </c>
      <c r="J15" s="4"/>
      <c r="K15" s="18"/>
      <c r="L15" s="18"/>
      <c r="M15" s="14"/>
      <c r="N15" s="14"/>
      <c r="O15" s="14"/>
      <c r="P15" s="14"/>
      <c r="Q15" s="14"/>
    </row>
    <row r="16" ht="15.75" customHeight="1">
      <c r="H16" s="25">
        <f>I16*0.925</f>
        <v>0</v>
      </c>
      <c r="I16" s="26">
        <f>H2-H4</f>
        <v>0</v>
      </c>
      <c r="J16" s="4"/>
      <c r="K16" s="18"/>
      <c r="L16" s="18"/>
      <c r="M16" s="14"/>
      <c r="N16" s="14"/>
      <c r="O16" s="14"/>
      <c r="P16" s="14"/>
      <c r="Q16" s="14"/>
    </row>
    <row r="17" ht="15.75" customHeight="1">
      <c r="J17" s="4"/>
      <c r="K17" s="4"/>
      <c r="L17" s="4"/>
    </row>
    <row r="18" ht="15.75" customHeight="1">
      <c r="A18" s="27" t="s">
        <v>17</v>
      </c>
      <c r="B18" s="27"/>
      <c r="C18" s="27"/>
      <c r="D18" s="27"/>
      <c r="E18" s="27"/>
      <c r="F18" s="28"/>
      <c r="G18" s="28"/>
      <c r="H18" s="29"/>
      <c r="J18" s="4"/>
      <c r="K18" s="4"/>
      <c r="L18" s="4"/>
    </row>
    <row r="19" ht="15.75" customHeight="1">
      <c r="A19" s="27"/>
      <c r="B19" s="27"/>
      <c r="C19" s="27"/>
      <c r="D19" s="27"/>
      <c r="E19" s="28" t="s">
        <v>18</v>
      </c>
      <c r="F19" s="28" t="s">
        <v>19</v>
      </c>
      <c r="G19" s="28" t="s">
        <v>20</v>
      </c>
      <c r="H19" s="29"/>
      <c r="J19" s="4"/>
      <c r="K19" s="4"/>
      <c r="L19" s="4"/>
    </row>
    <row r="20" ht="15.75" customHeight="1">
      <c r="A20" s="27"/>
      <c r="B20" s="27"/>
      <c r="C20" s="27"/>
      <c r="D20" s="27"/>
      <c r="E20" s="27">
        <f t="shared" ref="E20:F20" si="3">E15*1000</f>
        <v>0</v>
      </c>
      <c r="F20" s="30">
        <f t="shared" si="3"/>
        <v>0</v>
      </c>
      <c r="G20" s="30" t="str">
        <f>(H2/F20)*1000</f>
        <v>#DIV/0!</v>
      </c>
      <c r="H20" s="29"/>
      <c r="J20" s="4"/>
      <c r="K20" s="4"/>
      <c r="L20" s="4"/>
    </row>
    <row r="21" ht="15.75" customHeight="1">
      <c r="A21" s="5"/>
      <c r="B21" s="4"/>
      <c r="C21" s="4"/>
      <c r="D21" s="4"/>
      <c r="E21" s="4"/>
      <c r="F21" s="4"/>
      <c r="G21" s="31"/>
      <c r="H21" s="32"/>
      <c r="I21" s="4"/>
      <c r="J21" s="4"/>
      <c r="K21" s="4"/>
      <c r="L21" s="4"/>
    </row>
    <row r="22" ht="15.75" customHeight="1">
      <c r="A22" s="4"/>
      <c r="B22" s="33"/>
      <c r="C22" s="33"/>
      <c r="D22" s="33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5"/>
      <c r="B26" s="4"/>
      <c r="C26" s="4"/>
      <c r="D26" s="4"/>
      <c r="E26" s="5"/>
      <c r="F26" s="5"/>
      <c r="G26" s="5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5"/>
      <c r="B30" s="32"/>
      <c r="C30" s="32"/>
      <c r="D30" s="32"/>
      <c r="E30" s="4"/>
      <c r="F30" s="4"/>
      <c r="G30" s="4"/>
      <c r="H30" s="4"/>
      <c r="I30" s="4"/>
      <c r="J30" s="4"/>
      <c r="K30" s="4"/>
      <c r="L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3" width="26.38"/>
    <col customWidth="1" min="4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4" t="s">
        <v>21</v>
      </c>
      <c r="I1" s="35" t="s">
        <v>1</v>
      </c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36">
        <v>10000.0</v>
      </c>
      <c r="I2" s="4">
        <f>H2*11</f>
        <v>110000</v>
      </c>
      <c r="K2" s="4"/>
      <c r="L2" s="4"/>
    </row>
    <row r="3" ht="15.75" customHeight="1">
      <c r="A3" s="5"/>
      <c r="B3" s="4"/>
      <c r="C3" s="4"/>
      <c r="D3" s="4"/>
      <c r="E3" s="4"/>
      <c r="F3" s="4"/>
      <c r="G3" s="6"/>
      <c r="H3" s="4"/>
      <c r="I3" s="4"/>
      <c r="K3" s="4"/>
      <c r="L3" s="4"/>
    </row>
    <row r="4" ht="15.75" customHeight="1">
      <c r="A4" s="7" t="s">
        <v>3</v>
      </c>
      <c r="B4" s="8"/>
      <c r="C4" s="8"/>
      <c r="D4" s="8"/>
      <c r="E4" s="8"/>
      <c r="F4" s="8"/>
      <c r="G4" s="8"/>
      <c r="H4" s="37">
        <v>4717.44</v>
      </c>
      <c r="I4" s="38"/>
    </row>
    <row r="5" ht="15.75" customHeight="1">
      <c r="A5" s="9" t="s">
        <v>4</v>
      </c>
      <c r="B5" s="8"/>
      <c r="C5" s="8"/>
      <c r="D5" s="8"/>
      <c r="E5" s="8"/>
      <c r="F5" s="8"/>
      <c r="G5" s="8"/>
      <c r="H5" s="10">
        <f>H4/H2</f>
        <v>0.471744</v>
      </c>
    </row>
    <row r="6" ht="15.75" customHeight="1">
      <c r="H6" s="11"/>
    </row>
    <row r="7" ht="15.75" customHeight="1">
      <c r="A7" s="39" t="s">
        <v>22</v>
      </c>
      <c r="B7" s="39"/>
      <c r="C7" s="39"/>
      <c r="D7" s="39"/>
      <c r="E7" s="39"/>
      <c r="F7" s="39"/>
      <c r="G7" s="39"/>
      <c r="H7" s="40">
        <v>0.0</v>
      </c>
    </row>
    <row r="8" ht="15.75" customHeight="1">
      <c r="A8" s="41" t="s">
        <v>4</v>
      </c>
      <c r="B8" s="39"/>
      <c r="C8" s="39"/>
      <c r="D8" s="39"/>
      <c r="E8" s="39"/>
      <c r="F8" s="39"/>
      <c r="G8" s="39"/>
      <c r="H8" s="42">
        <f>H7/H2</f>
        <v>0</v>
      </c>
    </row>
    <row r="9" ht="15.75" customHeight="1">
      <c r="A9" s="39"/>
      <c r="B9" s="43" t="s">
        <v>23</v>
      </c>
      <c r="C9" s="43" t="s">
        <v>24</v>
      </c>
      <c r="D9" s="43" t="s">
        <v>25</v>
      </c>
      <c r="E9" s="43" t="s">
        <v>18</v>
      </c>
      <c r="F9" s="43" t="s">
        <v>19</v>
      </c>
      <c r="G9" s="43" t="s">
        <v>26</v>
      </c>
      <c r="H9" s="39"/>
      <c r="K9" s="14"/>
      <c r="L9" s="14"/>
      <c r="M9" s="14"/>
      <c r="N9" s="14"/>
      <c r="O9" s="14"/>
      <c r="P9" s="14"/>
      <c r="Q9" s="14"/>
    </row>
    <row r="10" ht="15.75" customHeight="1">
      <c r="A10" s="16" t="s">
        <v>27</v>
      </c>
      <c r="B10" s="44">
        <v>0.0</v>
      </c>
      <c r="C10" s="44">
        <v>220.0</v>
      </c>
      <c r="D10" s="17"/>
      <c r="E10" s="17"/>
      <c r="F10" s="17"/>
      <c r="G10" s="17"/>
      <c r="H10" s="17">
        <f>B10*C10</f>
        <v>0</v>
      </c>
      <c r="K10" s="14"/>
      <c r="L10" s="14"/>
      <c r="M10" s="14"/>
      <c r="N10" s="14"/>
      <c r="O10" s="14"/>
      <c r="P10" s="14"/>
      <c r="Q10" s="14"/>
    </row>
    <row r="11" ht="15.75" customHeight="1">
      <c r="A11" s="16" t="s">
        <v>28</v>
      </c>
      <c r="B11" s="17"/>
      <c r="C11" s="17"/>
      <c r="D11" s="16" t="s">
        <v>29</v>
      </c>
      <c r="E11" s="45">
        <f t="shared" ref="E11:E13" si="1">F11*0.25</f>
        <v>0</v>
      </c>
      <c r="F11" s="45">
        <f t="shared" ref="F11:F12" si="2">sum(1000*H11)/G11*0.85</f>
        <v>0</v>
      </c>
      <c r="G11" s="21">
        <v>20.0</v>
      </c>
      <c r="H11" s="46">
        <f>H7-H10</f>
        <v>0</v>
      </c>
      <c r="K11" s="14"/>
      <c r="L11" s="14"/>
      <c r="M11" s="14"/>
      <c r="N11" s="14"/>
      <c r="O11" s="14"/>
      <c r="P11" s="14"/>
      <c r="Q11" s="14"/>
    </row>
    <row r="12" ht="15.75" customHeight="1">
      <c r="A12" s="16" t="s">
        <v>30</v>
      </c>
      <c r="B12" s="17"/>
      <c r="C12" s="17"/>
      <c r="D12" s="16" t="s">
        <v>29</v>
      </c>
      <c r="E12" s="45">
        <f t="shared" si="1"/>
        <v>0</v>
      </c>
      <c r="F12" s="45">
        <f t="shared" si="2"/>
        <v>0</v>
      </c>
      <c r="G12" s="21">
        <v>15.0</v>
      </c>
      <c r="H12" s="32">
        <v>0.0</v>
      </c>
      <c r="I12" s="19"/>
      <c r="K12" s="14"/>
      <c r="L12" s="14"/>
      <c r="M12" s="14"/>
      <c r="N12" s="14"/>
      <c r="O12" s="14"/>
      <c r="P12" s="14"/>
      <c r="Q12" s="14"/>
    </row>
    <row r="13" ht="15.75" customHeight="1">
      <c r="A13" s="39" t="s">
        <v>15</v>
      </c>
      <c r="B13" s="39"/>
      <c r="C13" s="39"/>
      <c r="D13" s="39"/>
      <c r="E13" s="47">
        <f t="shared" si="1"/>
        <v>0</v>
      </c>
      <c r="F13" s="48">
        <f>sum(F10:F12)/1000</f>
        <v>0</v>
      </c>
      <c r="G13" s="49"/>
      <c r="H13" s="50">
        <f>sum(H10:H12)</f>
        <v>0</v>
      </c>
      <c r="I13" s="18"/>
      <c r="K13" s="14"/>
      <c r="L13" s="14"/>
      <c r="M13" s="14"/>
      <c r="N13" s="14"/>
      <c r="O13" s="14"/>
      <c r="P13" s="14"/>
      <c r="Q13" s="14"/>
    </row>
    <row r="14" ht="15.75" customHeight="1">
      <c r="A14" s="43" t="s">
        <v>4</v>
      </c>
      <c r="B14" s="39"/>
      <c r="C14" s="39"/>
      <c r="D14" s="39"/>
      <c r="E14" s="51"/>
      <c r="F14" s="52"/>
      <c r="G14" s="49"/>
      <c r="H14" s="53">
        <f>H13/H2</f>
        <v>0</v>
      </c>
      <c r="I14" s="18"/>
      <c r="K14" s="14"/>
      <c r="L14" s="14"/>
      <c r="M14" s="14"/>
      <c r="N14" s="14"/>
      <c r="O14" s="14"/>
      <c r="P14" s="14"/>
      <c r="Q14" s="14"/>
    </row>
    <row r="15" ht="15.75" customHeight="1">
      <c r="I15" s="14"/>
      <c r="K15" s="14"/>
      <c r="L15" s="14"/>
      <c r="M15" s="14"/>
      <c r="N15" s="14"/>
      <c r="O15" s="14"/>
      <c r="P15" s="14"/>
      <c r="Q15" s="14"/>
    </row>
    <row r="16" ht="15.75" customHeight="1">
      <c r="A16" s="12" t="s">
        <v>5</v>
      </c>
      <c r="B16" s="12"/>
      <c r="C16" s="12"/>
      <c r="D16" s="12"/>
      <c r="E16" s="12"/>
      <c r="F16" s="12"/>
      <c r="G16" s="12"/>
      <c r="H16" s="12"/>
      <c r="I16" s="13"/>
      <c r="K16" s="14"/>
      <c r="L16" s="14"/>
      <c r="M16" s="14"/>
      <c r="N16" s="14"/>
      <c r="O16" s="14"/>
      <c r="P16" s="14"/>
      <c r="Q16" s="14"/>
    </row>
    <row r="17" ht="15.75" customHeight="1">
      <c r="A17" s="15" t="s">
        <v>6</v>
      </c>
      <c r="B17" s="15" t="s">
        <v>7</v>
      </c>
      <c r="C17" s="15" t="s">
        <v>8</v>
      </c>
      <c r="D17" s="15" t="s">
        <v>9</v>
      </c>
      <c r="E17" s="15" t="s">
        <v>18</v>
      </c>
      <c r="F17" s="15" t="s">
        <v>11</v>
      </c>
      <c r="G17" s="15" t="s">
        <v>12</v>
      </c>
      <c r="H17" s="15" t="s">
        <v>13</v>
      </c>
      <c r="I17" s="54" t="s">
        <v>31</v>
      </c>
      <c r="K17" s="14"/>
      <c r="L17" s="14"/>
      <c r="M17" s="14"/>
      <c r="N17" s="14"/>
      <c r="O17" s="14"/>
      <c r="P17" s="14"/>
      <c r="Q17" s="14"/>
    </row>
    <row r="18" ht="15.75" customHeight="1">
      <c r="A18" s="44" t="s">
        <v>32</v>
      </c>
      <c r="B18" s="44">
        <v>10.0</v>
      </c>
      <c r="C18" s="44">
        <v>8.0</v>
      </c>
      <c r="D18" s="55" t="s">
        <v>33</v>
      </c>
      <c r="E18" s="17">
        <f t="shared" ref="E18:E20" si="3">F18*0.6</f>
        <v>6</v>
      </c>
      <c r="F18" s="56">
        <f>MROUND(B18*0.8,5)</f>
        <v>10</v>
      </c>
      <c r="G18" s="57">
        <f>425/11</f>
        <v>38.63636364</v>
      </c>
      <c r="H18" s="58"/>
      <c r="I18" s="59">
        <f>H22</f>
        <v>4886.368</v>
      </c>
      <c r="K18" s="14"/>
      <c r="L18" s="18"/>
      <c r="M18" s="18"/>
      <c r="N18" s="6"/>
      <c r="O18" s="19"/>
      <c r="P18" s="18"/>
      <c r="Q18" s="14"/>
    </row>
    <row r="19" ht="15.75" customHeight="1">
      <c r="A19" s="44" t="s">
        <v>34</v>
      </c>
      <c r="B19" s="44" t="s">
        <v>35</v>
      </c>
      <c r="C19" s="44" t="s">
        <v>36</v>
      </c>
      <c r="D19" s="55" t="s">
        <v>37</v>
      </c>
      <c r="E19" s="17">
        <f t="shared" si="3"/>
        <v>0</v>
      </c>
      <c r="F19" s="16"/>
      <c r="G19" s="57"/>
      <c r="H19" s="58">
        <f>350*4</f>
        <v>1400</v>
      </c>
      <c r="K19" s="14"/>
      <c r="L19" s="18"/>
      <c r="M19" s="18"/>
      <c r="N19" s="6"/>
      <c r="O19" s="19"/>
      <c r="P19" s="18"/>
      <c r="Q19" s="14"/>
    </row>
    <row r="20" ht="15.75" customHeight="1">
      <c r="A20" s="44" t="s">
        <v>38</v>
      </c>
      <c r="B20" s="44"/>
      <c r="C20" s="44" t="s">
        <v>39</v>
      </c>
      <c r="D20" s="14"/>
      <c r="E20" s="17">
        <f t="shared" si="3"/>
        <v>0</v>
      </c>
      <c r="F20" s="16"/>
      <c r="G20" s="16"/>
      <c r="H20" s="60">
        <f>10*50</f>
        <v>500</v>
      </c>
      <c r="K20" s="14"/>
      <c r="L20" s="18"/>
      <c r="M20" s="18"/>
      <c r="N20" s="6"/>
      <c r="O20" s="19"/>
      <c r="P20" s="18"/>
      <c r="Q20" s="14"/>
    </row>
    <row r="21" ht="15.75" customHeight="1">
      <c r="A21" s="12" t="s">
        <v>15</v>
      </c>
      <c r="B21" s="12"/>
      <c r="C21" s="12"/>
      <c r="D21" s="12"/>
      <c r="E21" s="12">
        <f>sum(E18)</f>
        <v>6</v>
      </c>
      <c r="F21" s="61">
        <f>SUM(F18)</f>
        <v>10</v>
      </c>
      <c r="G21" s="12"/>
      <c r="H21" s="61">
        <f>sum(H18:H20)</f>
        <v>1900</v>
      </c>
      <c r="I21" s="24" t="s">
        <v>16</v>
      </c>
      <c r="J21" s="4"/>
      <c r="K21" s="18"/>
      <c r="L21" s="18"/>
      <c r="M21" s="14"/>
      <c r="N21" s="14"/>
      <c r="O21" s="14"/>
      <c r="P21" s="14"/>
      <c r="Q21" s="14"/>
    </row>
    <row r="22" ht="15.75" customHeight="1">
      <c r="F22" s="13">
        <f>C18*F21</f>
        <v>80</v>
      </c>
      <c r="H22" s="62">
        <f>I22*0.925</f>
        <v>4886.368</v>
      </c>
      <c r="I22" s="63">
        <f>H2-H4-H7</f>
        <v>5282.56</v>
      </c>
      <c r="J22" s="4"/>
      <c r="K22" s="18"/>
      <c r="L22" s="18"/>
      <c r="M22" s="14"/>
      <c r="N22" s="14"/>
      <c r="O22" s="14"/>
      <c r="P22" s="14"/>
      <c r="Q22" s="14"/>
    </row>
    <row r="23" ht="15.75" customHeight="1">
      <c r="G23" s="64"/>
      <c r="H23" s="65"/>
      <c r="J23" s="4"/>
      <c r="K23" s="4"/>
      <c r="L23" s="4"/>
    </row>
    <row r="24" ht="15.75" customHeight="1">
      <c r="A24" s="27" t="s">
        <v>17</v>
      </c>
      <c r="B24" s="27"/>
      <c r="C24" s="27"/>
      <c r="D24" s="27"/>
      <c r="E24" s="27"/>
      <c r="F24" s="28"/>
      <c r="G24" s="28"/>
      <c r="H24" s="29"/>
      <c r="J24" s="4"/>
      <c r="K24" s="4"/>
      <c r="L24" s="4"/>
    </row>
    <row r="25" ht="15.75" customHeight="1">
      <c r="A25" s="27"/>
      <c r="B25" s="27"/>
      <c r="C25" s="27"/>
      <c r="D25" s="27"/>
      <c r="E25" s="28" t="s">
        <v>18</v>
      </c>
      <c r="F25" s="28" t="s">
        <v>19</v>
      </c>
      <c r="G25" s="28" t="s">
        <v>20</v>
      </c>
      <c r="H25" s="29"/>
      <c r="J25" s="4"/>
      <c r="K25" s="4"/>
      <c r="L25" s="4"/>
    </row>
    <row r="26" ht="15.75" customHeight="1">
      <c r="A26" s="27"/>
      <c r="B26" s="27"/>
      <c r="C26" s="27"/>
      <c r="D26" s="27"/>
      <c r="E26" s="27">
        <f t="shared" ref="E26:F26" si="4">(E13+E21)*1000</f>
        <v>6000</v>
      </c>
      <c r="F26" s="30">
        <f t="shared" si="4"/>
        <v>10000</v>
      </c>
      <c r="G26" s="30">
        <f>(H2/F26)*1000</f>
        <v>1000</v>
      </c>
      <c r="H26" s="29"/>
      <c r="J26" s="4"/>
      <c r="K26" s="4"/>
      <c r="L26" s="4"/>
    </row>
    <row r="27" ht="15.75" customHeight="1">
      <c r="A27" s="5"/>
      <c r="B27" s="4"/>
      <c r="C27" s="4"/>
      <c r="D27" s="4"/>
      <c r="E27" s="4"/>
      <c r="F27" s="33">
        <f>(F13+F22)*1000</f>
        <v>80000</v>
      </c>
      <c r="G27" s="31"/>
      <c r="H27" s="32"/>
      <c r="I27" s="4"/>
      <c r="J27" s="4"/>
      <c r="K27" s="4"/>
      <c r="L27" s="4"/>
    </row>
    <row r="28" ht="15.75" customHeight="1">
      <c r="A28" s="4"/>
      <c r="B28" s="33"/>
      <c r="C28" s="33"/>
      <c r="D28" s="33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5"/>
      <c r="B32" s="4"/>
      <c r="C32" s="4"/>
      <c r="D32" s="4"/>
      <c r="E32" s="5"/>
      <c r="F32" s="5"/>
      <c r="G32" s="5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5"/>
      <c r="B36" s="32"/>
      <c r="C36" s="32"/>
      <c r="D36" s="32"/>
      <c r="E36" s="4"/>
      <c r="F36" s="4"/>
      <c r="G36" s="4"/>
      <c r="H36" s="4"/>
      <c r="I36" s="4"/>
      <c r="J36" s="4"/>
      <c r="K36" s="4"/>
      <c r="L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2"/>
  <legacyDrawing r:id="rId3"/>
</worksheet>
</file>