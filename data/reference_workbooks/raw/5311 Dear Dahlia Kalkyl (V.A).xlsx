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 profiler" sheetId="1" r:id="rId4"/>
    <sheet state="visible" name="20 profiler" sheetId="2" r:id="rId5"/>
    <sheet state="visible" name="30 profiler" sheetId="3" r:id="rId6"/>
    <sheet state="visible" name="Masskampanj" sheetId="4" r:id="rId7"/>
    <sheet state="hidden" name="Kalkylmall Paid + Org." sheetId="5" r:id="rId8"/>
  </sheets>
  <definedNames/>
  <calcPr/>
  <extLst>
    <ext uri="GoogleSheetsCustomDataVersion2">
      <go:sheetsCustomData xmlns:go="http://customooxmlschemas.google.com/" r:id="rId9" roundtripDataChecksum="/syFFyHWi9WjlliINuJImhYQNjqTqBXoyiviA/sdg94="/>
    </ext>
  </extLst>
</workbook>
</file>

<file path=xl/sharedStrings.xml><?xml version="1.0" encoding="utf-8"?>
<sst xmlns="http://schemas.openxmlformats.org/spreadsheetml/2006/main" count="311" uniqueCount="68">
  <si>
    <t>Valuta</t>
  </si>
  <si>
    <t>EUR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</si>
  <si>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</si>
  <si>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</si>
  <si>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</si>
  <si>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</si>
  <si>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</si>
  <si>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</si>
  <si>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</si>
  <si>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</si>
  <si>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</si>
  <si>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</si>
  <si>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</si>
  <si>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</si>
  <si>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</si>
  <si>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TikTok</t>
  </si>
  <si>
    <t>7-30 days</t>
  </si>
  <si>
    <t>Instagram</t>
  </si>
  <si>
    <t>inkl 7,5%</t>
  </si>
  <si>
    <t>Diff:</t>
  </si>
  <si>
    <t>TOTAL CAMPAIGN</t>
  </si>
  <si>
    <t>Reach</t>
  </si>
  <si>
    <t>Impressions</t>
  </si>
  <si>
    <t>CPM</t>
  </si>
  <si>
    <t>Add on: Paid</t>
  </si>
  <si>
    <t>Target</t>
  </si>
  <si>
    <t>Antal annonser / Tid per annons</t>
  </si>
  <si>
    <t>Pris per annons eller timme</t>
  </si>
  <si>
    <t>Målsättning</t>
  </si>
  <si>
    <t>CPM (paid)</t>
  </si>
  <si>
    <t>SmartOn hantering</t>
  </si>
  <si>
    <t>Nine Hantering</t>
  </si>
  <si>
    <t>Media spend Meta</t>
  </si>
  <si>
    <t>räckvidd</t>
  </si>
  <si>
    <t>Media spend TikTok</t>
  </si>
  <si>
    <t>Total</t>
  </si>
  <si>
    <t>Actual</t>
  </si>
  <si>
    <t xml:space="preserve">New Campaign Total: </t>
  </si>
  <si>
    <t>Antal annonser</t>
  </si>
  <si>
    <t>Pris per annons</t>
  </si>
  <si>
    <t>SmartOn/Nine Agency hantering</t>
  </si>
  <si>
    <t>Standard / kompexitet medelsvår</t>
  </si>
  <si>
    <t>Timpris:</t>
  </si>
  <si>
    <t>Pris (EUR)</t>
  </si>
  <si>
    <t>Timmar</t>
  </si>
  <si>
    <r>
      <rPr>
        <rFont val="Arial"/>
        <b/>
        <color theme="1"/>
      </rPr>
      <t xml:space="preserve">Start/admin
</t>
    </r>
    <r>
      <rPr>
        <rFont val="Arial"/>
        <b val="0"/>
        <i/>
        <color theme="1"/>
      </rPr>
      <t xml:space="preserve">Inkl. offert, OB, avtal, uppstarts- och avstämningsmöten (externt &amp; internt)
</t>
    </r>
  </si>
  <si>
    <r>
      <rPr>
        <rFont val="Arial"/>
        <b/>
        <color theme="1"/>
      </rPr>
      <t xml:space="preserve">Hantering per profil
</t>
    </r>
    <r>
      <rPr>
        <rFont val="Arial"/>
        <b val="0"/>
        <i/>
        <color theme="1"/>
      </rPr>
      <t xml:space="preserve">1 Nedslag á 1-2 aktiveringar (ex 1x IG Reel + 1x IG Story)
</t>
    </r>
  </si>
  <si>
    <r>
      <rPr>
        <rFont val="Arial"/>
        <b/>
        <color theme="1"/>
      </rPr>
      <t>Extra hantering av fler nedslag</t>
    </r>
    <r>
      <rPr>
        <rFont val="Arial"/>
        <color theme="1"/>
      </rPr>
      <t xml:space="preserve">
</t>
    </r>
    <r>
      <rPr>
        <rFont val="Arial"/>
        <i/>
        <color theme="1"/>
      </rPr>
      <t>1 Nedslag á 1-2 aktiveringar</t>
    </r>
  </si>
  <si>
    <t>SCOUTING</t>
  </si>
  <si>
    <t>Antal nedslag</t>
  </si>
  <si>
    <t>Profilstorlek</t>
  </si>
  <si>
    <t>snittvisningar</t>
  </si>
  <si>
    <t>cpm</t>
  </si>
  <si>
    <t>arvode</t>
  </si>
  <si>
    <t>antal profiler</t>
  </si>
  <si>
    <t>Ej Arvoderade Profiler (produkt som ersättning)</t>
  </si>
  <si>
    <t xml:space="preserve">Arvoderade profiler </t>
  </si>
  <si>
    <t>Totalt antal profiler</t>
  </si>
  <si>
    <t xml:space="preserve">Totalt, full kampanj </t>
  </si>
  <si>
    <t>Start/admin</t>
  </si>
  <si>
    <t>Hantering, samtliga profiler</t>
  </si>
  <si>
    <t>Arvode, samtliga profiler Tiktok</t>
  </si>
  <si>
    <t>Arvode, samtliga profiler Instagram</t>
  </si>
  <si>
    <t>Totalt, exkl. extra nedslag</t>
  </si>
  <si>
    <t>Varav byråarvode</t>
  </si>
  <si>
    <t>Paid</t>
  </si>
  <si>
    <t>7-30 dagar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</si>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</sst>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 ### ##0"/>
    <numFmt numFmtId="165" formatCode="## ### ### ###"/>
  </numFmts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b/>
      <color rgb="FF666666"/>
      <name val="Arial"/>
    </font>
    <font>
      <color rgb="FF666666"/>
      <name val="Arial"/>
      <scheme val="minor"/>
    </font>
    <font>
      <b/>
      <color theme="1"/>
      <name val="Arial"/>
      <scheme val="minor"/>
    </font>
    <font>
      <i/>
      <color rgb="FF666666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6" fontId="2" numFmtId="0" xfId="0" applyFill="1" applyFont="1"/>
    <xf borderId="0" fillId="0" fontId="2" numFmtId="0" xfId="0" applyFont="1"/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3" numFmtId="0" xfId="0" applyAlignment="1" applyFont="1">
      <alignment horizontal="right"/>
    </xf>
    <xf borderId="0" fillId="0" fontId="5" numFmtId="0" xfId="0" applyFont="1"/>
    <xf borderId="0" fillId="0" fontId="6" numFmtId="0" xfId="0" applyFont="1"/>
    <xf borderId="0" fillId="0" fontId="4" numFmtId="0" xfId="0" applyFont="1"/>
    <xf borderId="0" fillId="7" fontId="1" numFmtId="0" xfId="0" applyFill="1" applyFont="1"/>
    <xf borderId="0" fillId="7" fontId="3" numFmtId="0" xfId="0" applyFont="1"/>
    <xf borderId="0" fillId="7" fontId="2" numFmtId="0" xfId="0" applyFont="1"/>
    <xf borderId="0" fillId="7" fontId="7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8" fontId="8" numFmtId="0" xfId="0" applyFont="1"/>
    <xf borderId="0" fillId="0" fontId="9" numFmtId="0" xfId="0" applyAlignment="1" applyFont="1">
      <alignment readingOrder="0"/>
    </xf>
    <xf borderId="0" fillId="9" fontId="2" numFmtId="0" xfId="0" applyFill="1" applyFont="1"/>
    <xf borderId="0" fillId="9" fontId="1" numFmtId="0" xfId="0" applyFont="1"/>
    <xf borderId="0" fillId="9" fontId="3" numFmtId="10" xfId="0" applyFont="1" applyNumberFormat="1"/>
    <xf borderId="0" fillId="9" fontId="3" numFmtId="0" xfId="0" applyAlignment="1" applyFont="1">
      <alignment readingOrder="0"/>
    </xf>
    <xf borderId="0" fillId="9" fontId="3" numFmtId="0" xfId="0" applyFont="1"/>
    <xf borderId="0" fillId="6" fontId="2" numFmtId="0" xfId="0" applyAlignment="1" applyFont="1">
      <alignment readingOrder="0"/>
    </xf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readingOrder="0" vertical="bottom"/>
    </xf>
    <xf borderId="0" fillId="9" fontId="1" numFmtId="1" xfId="0" applyAlignment="1" applyFont="1" applyNumberFormat="1">
      <alignment vertical="bottom"/>
    </xf>
    <xf borderId="0" fillId="9" fontId="1" numFmtId="1" xfId="0" applyAlignment="1" applyFont="1" applyNumberFormat="1">
      <alignment horizontal="right" vertical="bottom"/>
    </xf>
    <xf borderId="0" fillId="9" fontId="2" numFmtId="164" xfId="0" applyAlignment="1" applyFont="1" applyNumberFormat="1">
      <alignment vertical="bottom"/>
    </xf>
    <xf borderId="0" fillId="9" fontId="1" numFmtId="0" xfId="0" applyAlignment="1" applyFont="1">
      <alignment horizontal="right" vertical="bottom"/>
    </xf>
    <xf borderId="0" fillId="10" fontId="2" numFmtId="0" xfId="0" applyAlignment="1" applyFill="1" applyFont="1">
      <alignment readingOrder="0" vertical="bottom"/>
    </xf>
    <xf borderId="0" fillId="9" fontId="2" numFmtId="1" xfId="0" applyAlignment="1" applyFont="1" applyNumberFormat="1">
      <alignment vertical="bottom"/>
    </xf>
    <xf borderId="0" fillId="9" fontId="2" numFmtId="1" xfId="0" applyAlignment="1" applyFont="1" applyNumberFormat="1">
      <alignment horizontal="right" vertical="bottom"/>
    </xf>
    <xf borderId="0" fillId="9" fontId="3" numFmtId="0" xfId="0" applyAlignment="1" applyFont="1">
      <alignment horizontal="right" vertical="bottom"/>
    </xf>
    <xf borderId="0" fillId="10" fontId="10" numFmtId="0" xfId="0" applyAlignment="1" applyFont="1">
      <alignment readingOrder="0"/>
    </xf>
    <xf borderId="0" fillId="10" fontId="4" numFmtId="0" xfId="0" applyFont="1"/>
    <xf borderId="0" fillId="10" fontId="10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2" fontId="1" numFmtId="0" xfId="0" applyAlignment="1" applyFont="1">
      <alignment vertical="bottom"/>
    </xf>
    <xf borderId="0" fillId="11" fontId="1" numFmtId="0" xfId="0" applyAlignment="1" applyFill="1" applyFont="1">
      <alignment vertical="bottom"/>
    </xf>
    <xf borderId="0" fillId="11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12" fontId="1" numFmtId="0" xfId="0" applyAlignment="1" applyFill="1" applyFont="1">
      <alignment vertical="bottom"/>
    </xf>
    <xf borderId="0" fillId="12" fontId="7" numFmtId="0" xfId="0" applyAlignment="1" applyFont="1">
      <alignment readingOrder="0" vertical="bottom"/>
    </xf>
    <xf borderId="0" fillId="12" fontId="7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12" fontId="2" numFmtId="0" xfId="0" applyAlignment="1" applyFont="1">
      <alignment horizontal="right" readingOrder="0" vertical="bottom"/>
    </xf>
    <xf borderId="0" fillId="4" fontId="7" numFmtId="0" xfId="0" applyAlignment="1" applyFont="1">
      <alignment vertical="bottom"/>
    </xf>
    <xf borderId="0" fillId="4" fontId="2" numFmtId="0" xfId="0" applyAlignment="1" applyFont="1">
      <alignment horizontal="right" vertical="bottom"/>
    </xf>
    <xf borderId="0" fillId="8" fontId="1" numFmtId="0" xfId="0" applyAlignment="1" applyFont="1">
      <alignment vertical="bottom"/>
    </xf>
    <xf borderId="0" fillId="8" fontId="2" numFmtId="4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8" fontId="3" numFmtId="0" xfId="0" applyAlignment="1" applyFont="1">
      <alignment vertical="bottom"/>
    </xf>
    <xf borderId="0" fillId="8" fontId="3" numFmtId="1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2" fontId="2" numFmtId="0" xfId="0" applyAlignment="1" applyFont="1">
      <alignment horizontal="right" readingOrder="0" vertical="bottom"/>
    </xf>
    <xf borderId="0" fillId="3" fontId="2" numFmtId="164" xfId="0" applyAlignment="1" applyFont="1" applyNumberForma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left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6">
        <v>32000.0</v>
      </c>
      <c r="I2" s="5">
        <f>H2*11</f>
        <v>352000</v>
      </c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5"/>
      <c r="I3" s="5"/>
      <c r="J3" s="5"/>
      <c r="K3" s="5"/>
      <c r="L3" s="5"/>
    </row>
    <row r="4" ht="15.75" customHeight="1">
      <c r="A4" s="9" t="s">
        <v>4</v>
      </c>
      <c r="B4" s="10"/>
      <c r="C4" s="10"/>
      <c r="D4" s="10"/>
      <c r="E4" s="10"/>
      <c r="F4" s="10"/>
      <c r="G4" s="10"/>
      <c r="H4" s="11">
        <v>14904.0</v>
      </c>
    </row>
    <row r="5" ht="15.75" customHeight="1">
      <c r="A5" s="12" t="s">
        <v>5</v>
      </c>
      <c r="B5" s="10"/>
      <c r="C5" s="10"/>
      <c r="D5" s="10"/>
      <c r="E5" s="10"/>
      <c r="F5" s="10"/>
      <c r="G5" s="10"/>
      <c r="H5" s="13">
        <f>H4/H2</f>
        <v>0.46575</v>
      </c>
    </row>
    <row r="6" ht="15.75" customHeight="1">
      <c r="H6" s="14"/>
    </row>
    <row r="7" ht="15.75" customHeight="1">
      <c r="A7" s="15" t="s">
        <v>6</v>
      </c>
      <c r="B7" s="15"/>
      <c r="C7" s="15"/>
      <c r="D7" s="15"/>
      <c r="E7" s="15"/>
      <c r="F7" s="15"/>
      <c r="G7" s="15"/>
      <c r="H7" s="15"/>
      <c r="I7" s="16"/>
      <c r="K7" s="17"/>
      <c r="L7" s="17"/>
      <c r="M7" s="17"/>
      <c r="N7" s="17"/>
      <c r="O7" s="17"/>
      <c r="P7" s="17"/>
      <c r="Q7" s="17"/>
    </row>
    <row r="8" ht="15.75" customHeight="1">
      <c r="A8" s="18" t="s">
        <v>7</v>
      </c>
      <c r="B8" s="18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6"/>
      <c r="K8" s="17"/>
      <c r="L8" s="17"/>
      <c r="M8" s="17"/>
      <c r="N8" s="17"/>
      <c r="O8" s="17"/>
      <c r="P8" s="17"/>
      <c r="Q8" s="17"/>
    </row>
    <row r="9" ht="15.75" customHeight="1">
      <c r="A9" s="19" t="s">
        <v>15</v>
      </c>
      <c r="B9" s="20">
        <v>35.0</v>
      </c>
      <c r="C9" s="20">
        <v>1.0</v>
      </c>
      <c r="D9" s="21" t="s">
        <v>16</v>
      </c>
      <c r="E9" s="22">
        <f t="shared" ref="E9:E18" si="1">F9*0.6</f>
        <v>18</v>
      </c>
      <c r="F9" s="23">
        <f t="shared" ref="F9:F13" si="2">MROUND(B9*0.8,5)</f>
        <v>30</v>
      </c>
      <c r="G9" s="20">
        <v>35.0</v>
      </c>
      <c r="H9" s="22">
        <f t="shared" ref="H9:H18" si="3">F9*G9*C9</f>
        <v>1050</v>
      </c>
      <c r="K9" s="17"/>
      <c r="L9" s="24"/>
      <c r="M9" s="24"/>
      <c r="N9" s="8"/>
      <c r="O9" s="25"/>
      <c r="P9" s="24"/>
      <c r="Q9" s="17"/>
    </row>
    <row r="10" ht="15.75" customHeight="1">
      <c r="A10" s="19" t="s">
        <v>15</v>
      </c>
      <c r="B10" s="20">
        <v>35.0</v>
      </c>
      <c r="C10" s="20">
        <v>1.0</v>
      </c>
      <c r="D10" s="21" t="s">
        <v>16</v>
      </c>
      <c r="E10" s="22">
        <f t="shared" si="1"/>
        <v>18</v>
      </c>
      <c r="F10" s="23">
        <f t="shared" si="2"/>
        <v>30</v>
      </c>
      <c r="G10" s="20">
        <v>35.0</v>
      </c>
      <c r="H10" s="22">
        <f t="shared" si="3"/>
        <v>1050</v>
      </c>
      <c r="K10" s="17"/>
      <c r="L10" s="24"/>
      <c r="M10" s="24"/>
      <c r="N10" s="8"/>
      <c r="O10" s="25"/>
      <c r="P10" s="24"/>
      <c r="Q10" s="17"/>
    </row>
    <row r="11" ht="15.75" customHeight="1">
      <c r="A11" s="19" t="s">
        <v>15</v>
      </c>
      <c r="B11" s="20">
        <v>35.0</v>
      </c>
      <c r="C11" s="20">
        <v>1.0</v>
      </c>
      <c r="D11" s="21" t="s">
        <v>16</v>
      </c>
      <c r="E11" s="22">
        <f t="shared" si="1"/>
        <v>18</v>
      </c>
      <c r="F11" s="23">
        <f t="shared" si="2"/>
        <v>30</v>
      </c>
      <c r="G11" s="20">
        <v>35.0</v>
      </c>
      <c r="H11" s="22">
        <f t="shared" si="3"/>
        <v>1050</v>
      </c>
      <c r="K11" s="17"/>
      <c r="L11" s="24"/>
      <c r="M11" s="24"/>
      <c r="N11" s="8"/>
      <c r="O11" s="25"/>
      <c r="P11" s="24"/>
      <c r="Q11" s="17"/>
    </row>
    <row r="12" ht="15.75" customHeight="1">
      <c r="A12" s="19" t="s">
        <v>15</v>
      </c>
      <c r="B12" s="20">
        <v>75.0</v>
      </c>
      <c r="C12" s="20">
        <v>1.0</v>
      </c>
      <c r="D12" s="21" t="s">
        <v>16</v>
      </c>
      <c r="E12" s="22">
        <f t="shared" si="1"/>
        <v>36</v>
      </c>
      <c r="F12" s="23">
        <f t="shared" si="2"/>
        <v>60</v>
      </c>
      <c r="G12" s="20">
        <v>35.0</v>
      </c>
      <c r="H12" s="22">
        <f t="shared" si="3"/>
        <v>2100</v>
      </c>
      <c r="K12" s="17"/>
      <c r="L12" s="24"/>
      <c r="M12" s="24"/>
      <c r="N12" s="8"/>
      <c r="O12" s="25"/>
      <c r="P12" s="24"/>
      <c r="Q12" s="17"/>
    </row>
    <row r="13" ht="15.75" customHeight="1">
      <c r="A13" s="19" t="s">
        <v>15</v>
      </c>
      <c r="B13" s="20">
        <v>75.0</v>
      </c>
      <c r="C13" s="20">
        <v>1.0</v>
      </c>
      <c r="D13" s="21" t="s">
        <v>16</v>
      </c>
      <c r="E13" s="22">
        <f t="shared" si="1"/>
        <v>36</v>
      </c>
      <c r="F13" s="23">
        <f t="shared" si="2"/>
        <v>60</v>
      </c>
      <c r="G13" s="20">
        <v>35.0</v>
      </c>
      <c r="H13" s="22">
        <f t="shared" si="3"/>
        <v>2100</v>
      </c>
      <c r="K13" s="17"/>
      <c r="L13" s="24"/>
      <c r="M13" s="24"/>
      <c r="N13" s="8"/>
      <c r="O13" s="25"/>
      <c r="P13" s="24"/>
      <c r="Q13" s="17"/>
    </row>
    <row r="14" ht="15.75" customHeight="1">
      <c r="A14" s="19" t="s">
        <v>17</v>
      </c>
      <c r="B14" s="20">
        <v>35.0</v>
      </c>
      <c r="C14" s="20">
        <v>1.0</v>
      </c>
      <c r="D14" s="21" t="s">
        <v>16</v>
      </c>
      <c r="E14" s="22">
        <f t="shared" si="1"/>
        <v>15</v>
      </c>
      <c r="F14" s="23">
        <f t="shared" ref="F14:F18" si="4">MROUND(B14*0.7,5)</f>
        <v>25</v>
      </c>
      <c r="G14" s="20">
        <v>46.0</v>
      </c>
      <c r="H14" s="22">
        <f t="shared" si="3"/>
        <v>1150</v>
      </c>
      <c r="K14" s="17"/>
      <c r="L14" s="24"/>
      <c r="M14" s="24"/>
      <c r="N14" s="8"/>
      <c r="O14" s="25"/>
      <c r="P14" s="24"/>
      <c r="Q14" s="17"/>
    </row>
    <row r="15" ht="15.75" customHeight="1">
      <c r="A15" s="19" t="s">
        <v>17</v>
      </c>
      <c r="B15" s="20">
        <v>35.0</v>
      </c>
      <c r="C15" s="20">
        <v>1.0</v>
      </c>
      <c r="D15" s="21" t="s">
        <v>16</v>
      </c>
      <c r="E15" s="22">
        <f t="shared" si="1"/>
        <v>15</v>
      </c>
      <c r="F15" s="23">
        <f t="shared" si="4"/>
        <v>25</v>
      </c>
      <c r="G15" s="20">
        <v>46.0</v>
      </c>
      <c r="H15" s="22">
        <f t="shared" si="3"/>
        <v>1150</v>
      </c>
      <c r="K15" s="17"/>
      <c r="L15" s="24"/>
      <c r="M15" s="24"/>
      <c r="N15" s="8"/>
      <c r="O15" s="25"/>
      <c r="P15" s="24"/>
      <c r="Q15" s="17"/>
    </row>
    <row r="16" ht="15.75" customHeight="1">
      <c r="A16" s="19" t="s">
        <v>17</v>
      </c>
      <c r="B16" s="20">
        <v>35.0</v>
      </c>
      <c r="C16" s="20">
        <v>1.0</v>
      </c>
      <c r="D16" s="21" t="s">
        <v>16</v>
      </c>
      <c r="E16" s="22">
        <f t="shared" si="1"/>
        <v>15</v>
      </c>
      <c r="F16" s="23">
        <f t="shared" si="4"/>
        <v>25</v>
      </c>
      <c r="G16" s="20">
        <v>46.0</v>
      </c>
      <c r="H16" s="22">
        <f t="shared" si="3"/>
        <v>1150</v>
      </c>
      <c r="K16" s="17"/>
      <c r="L16" s="24"/>
      <c r="M16" s="24"/>
      <c r="N16" s="8"/>
      <c r="O16" s="25"/>
      <c r="P16" s="24"/>
      <c r="Q16" s="17"/>
    </row>
    <row r="17" ht="15.75" customHeight="1">
      <c r="A17" s="19" t="s">
        <v>17</v>
      </c>
      <c r="B17" s="20">
        <v>75.0</v>
      </c>
      <c r="C17" s="20">
        <v>1.0</v>
      </c>
      <c r="D17" s="21" t="s">
        <v>16</v>
      </c>
      <c r="E17" s="22">
        <f t="shared" si="1"/>
        <v>33</v>
      </c>
      <c r="F17" s="23">
        <f t="shared" si="4"/>
        <v>55</v>
      </c>
      <c r="G17" s="20">
        <v>46.0</v>
      </c>
      <c r="H17" s="22">
        <f t="shared" si="3"/>
        <v>2530</v>
      </c>
      <c r="K17" s="17"/>
      <c r="L17" s="24"/>
      <c r="M17" s="24"/>
      <c r="N17" s="8"/>
      <c r="O17" s="25"/>
      <c r="P17" s="24"/>
      <c r="Q17" s="17"/>
    </row>
    <row r="18" ht="15.75" customHeight="1">
      <c r="A18" s="19" t="s">
        <v>17</v>
      </c>
      <c r="B18" s="20">
        <v>75.0</v>
      </c>
      <c r="C18" s="20">
        <v>1.0</v>
      </c>
      <c r="D18" s="21" t="s">
        <v>16</v>
      </c>
      <c r="E18" s="22">
        <f t="shared" si="1"/>
        <v>33</v>
      </c>
      <c r="F18" s="23">
        <f t="shared" si="4"/>
        <v>55</v>
      </c>
      <c r="G18" s="20">
        <v>46.0</v>
      </c>
      <c r="H18" s="22">
        <f t="shared" si="3"/>
        <v>2530</v>
      </c>
      <c r="K18" s="17"/>
      <c r="L18" s="24"/>
      <c r="M18" s="24"/>
      <c r="N18" s="8"/>
      <c r="O18" s="25"/>
      <c r="P18" s="24"/>
      <c r="Q18" s="17"/>
    </row>
    <row r="19" ht="15.75" customHeight="1">
      <c r="A19" s="15" t="str">
        <f>"Total: "&amp;COUNTA(A9:A18)</f>
        <v>Total: 10</v>
      </c>
      <c r="B19" s="15"/>
      <c r="C19" s="15"/>
      <c r="D19" s="15"/>
      <c r="E19" s="15">
        <f>sum(E9:E18)</f>
        <v>237</v>
      </c>
      <c r="F19" s="15">
        <f>SUM(F9:F18)</f>
        <v>395</v>
      </c>
      <c r="G19" s="15"/>
      <c r="H19" s="15">
        <f>sum(H9:H18)</f>
        <v>15860</v>
      </c>
      <c r="I19" s="26" t="s">
        <v>18</v>
      </c>
      <c r="J19" s="5"/>
      <c r="K19" s="24"/>
      <c r="L19" s="24"/>
      <c r="M19" s="17"/>
      <c r="N19" s="17"/>
      <c r="O19" s="17"/>
      <c r="P19" s="17"/>
      <c r="Q19" s="17"/>
    </row>
    <row r="20" ht="15.75" customHeight="1">
      <c r="H20" s="27">
        <f>I20*0.925</f>
        <v>15813.8</v>
      </c>
      <c r="I20" s="28">
        <f>H2-H4</f>
        <v>17096</v>
      </c>
      <c r="J20" s="5"/>
      <c r="K20" s="24"/>
      <c r="L20" s="24"/>
      <c r="M20" s="17"/>
      <c r="N20" s="17"/>
      <c r="O20" s="17"/>
      <c r="P20" s="17"/>
      <c r="Q20" s="17"/>
    </row>
    <row r="21" ht="15.75" customHeight="1">
      <c r="G21" s="19" t="s">
        <v>19</v>
      </c>
      <c r="H21" s="29">
        <f>H20-H19</f>
        <v>-46.2</v>
      </c>
      <c r="J21" s="5"/>
      <c r="K21" s="5"/>
      <c r="L21" s="5"/>
    </row>
    <row r="22" ht="15.75" customHeight="1">
      <c r="A22" s="30" t="s">
        <v>20</v>
      </c>
      <c r="B22" s="30"/>
      <c r="C22" s="30"/>
      <c r="D22" s="30"/>
      <c r="E22" s="30"/>
      <c r="F22" s="31"/>
      <c r="G22" s="31"/>
      <c r="H22" s="32"/>
      <c r="J22" s="5"/>
      <c r="K22" s="5"/>
      <c r="L22" s="5"/>
    </row>
    <row r="23" ht="15.75" customHeight="1">
      <c r="A23" s="30"/>
      <c r="B23" s="30"/>
      <c r="C23" s="30"/>
      <c r="D23" s="30"/>
      <c r="E23" s="31" t="s">
        <v>21</v>
      </c>
      <c r="F23" s="31" t="s">
        <v>22</v>
      </c>
      <c r="G23" s="31" t="s">
        <v>23</v>
      </c>
      <c r="H23" s="32"/>
      <c r="J23" s="5"/>
      <c r="K23" s="5"/>
      <c r="L23" s="5"/>
    </row>
    <row r="24" ht="15.75" customHeight="1">
      <c r="A24" s="30"/>
      <c r="B24" s="30"/>
      <c r="C24" s="30"/>
      <c r="D24" s="30"/>
      <c r="E24" s="30">
        <f t="shared" ref="E24:F24" si="5">E19*1000</f>
        <v>237000</v>
      </c>
      <c r="F24" s="33">
        <f t="shared" si="5"/>
        <v>395000</v>
      </c>
      <c r="G24" s="33">
        <f>(H2/F24)*1000</f>
        <v>81.01265823</v>
      </c>
      <c r="H24" s="32"/>
      <c r="J24" s="5"/>
      <c r="K24" s="5"/>
      <c r="L24" s="5"/>
    </row>
    <row r="25" ht="15.75" customHeight="1">
      <c r="A25" s="7"/>
      <c r="B25" s="5"/>
      <c r="C25" s="5"/>
      <c r="D25" s="5"/>
      <c r="E25" s="5"/>
      <c r="F25" s="5"/>
      <c r="G25" s="34"/>
      <c r="H25" s="35"/>
      <c r="I25" s="5"/>
      <c r="J25" s="5"/>
      <c r="K25" s="5"/>
      <c r="L25" s="5"/>
    </row>
    <row r="26" ht="15.75" customHeight="1">
      <c r="A26" s="5"/>
      <c r="B26" s="36"/>
      <c r="C26" s="36"/>
      <c r="D26" s="36"/>
      <c r="E26" s="5"/>
      <c r="F26" s="5"/>
      <c r="G26" s="5"/>
      <c r="H26" s="5"/>
      <c r="I26" s="5"/>
      <c r="J26" s="5"/>
      <c r="K26" s="5"/>
      <c r="L26" s="5"/>
    </row>
    <row r="27" ht="15.75" customHeight="1">
      <c r="A27" s="37" t="s">
        <v>24</v>
      </c>
      <c r="B27" s="38"/>
      <c r="C27" s="38"/>
      <c r="D27" s="38"/>
      <c r="E27" s="38"/>
      <c r="F27" s="38"/>
      <c r="G27" s="38"/>
      <c r="H27" s="39">
        <f>H2*0.15</f>
        <v>4800</v>
      </c>
      <c r="I27" s="40" t="s">
        <v>25</v>
      </c>
    </row>
    <row r="28" ht="15.75" customHeight="1">
      <c r="A28" s="41" t="s">
        <v>5</v>
      </c>
      <c r="B28" s="42"/>
      <c r="C28" s="42"/>
      <c r="D28" s="42"/>
      <c r="E28" s="42"/>
      <c r="F28" s="42"/>
      <c r="G28" s="42"/>
      <c r="H28" s="43"/>
    </row>
    <row r="29" ht="15.75" customHeight="1">
      <c r="A29" s="42"/>
      <c r="B29" s="44" t="s">
        <v>26</v>
      </c>
      <c r="C29" s="44" t="s">
        <v>27</v>
      </c>
      <c r="D29" s="45" t="s">
        <v>28</v>
      </c>
      <c r="E29" s="45" t="s">
        <v>21</v>
      </c>
      <c r="F29" s="45" t="s">
        <v>22</v>
      </c>
      <c r="G29" s="45" t="s">
        <v>29</v>
      </c>
      <c r="H29" s="42"/>
      <c r="K29" s="17"/>
      <c r="L29" s="17"/>
      <c r="M29" s="17"/>
      <c r="N29" s="17"/>
      <c r="O29" s="17"/>
      <c r="P29" s="17"/>
      <c r="Q29" s="17"/>
    </row>
    <row r="30" ht="15.75" customHeight="1">
      <c r="A30" s="20" t="s">
        <v>30</v>
      </c>
      <c r="B30" s="20">
        <v>10.0</v>
      </c>
      <c r="C30" s="20">
        <v>220.0</v>
      </c>
      <c r="D30" s="22"/>
      <c r="E30" s="22"/>
      <c r="F30" s="22"/>
      <c r="G30" s="22"/>
      <c r="H30" s="22">
        <f>B30*C30</f>
        <v>2200</v>
      </c>
      <c r="K30" s="17"/>
      <c r="L30" s="17"/>
      <c r="M30" s="17"/>
      <c r="N30" s="17"/>
      <c r="O30" s="17"/>
      <c r="P30" s="17"/>
      <c r="Q30" s="17"/>
    </row>
    <row r="31" ht="15.75" customHeight="1">
      <c r="A31" s="20" t="s">
        <v>31</v>
      </c>
      <c r="B31" s="46">
        <v>0.5</v>
      </c>
      <c r="C31" s="46">
        <f>96</f>
        <v>96</v>
      </c>
      <c r="D31" s="23"/>
      <c r="E31" s="47"/>
      <c r="F31" s="47"/>
      <c r="G31" s="48"/>
      <c r="H31" s="35">
        <f>C31*B31*B30</f>
        <v>480</v>
      </c>
      <c r="K31" s="17"/>
      <c r="L31" s="17"/>
      <c r="M31" s="17"/>
      <c r="N31" s="17"/>
      <c r="O31" s="17"/>
      <c r="P31" s="17"/>
      <c r="Q31" s="17"/>
    </row>
    <row r="32" ht="15.75" customHeight="1">
      <c r="A32" s="23" t="s">
        <v>32</v>
      </c>
      <c r="B32" s="22"/>
      <c r="C32" s="22"/>
      <c r="D32" s="23" t="s">
        <v>33</v>
      </c>
      <c r="E32" s="47">
        <f t="shared" ref="E32:E34" si="6">F32*0.25</f>
        <v>55250</v>
      </c>
      <c r="F32" s="47">
        <f t="shared" ref="F32:F33" si="7">sum(1000*H32)/G32*0.85</f>
        <v>221000</v>
      </c>
      <c r="G32" s="48">
        <v>5.0</v>
      </c>
      <c r="H32" s="35">
        <f>(H27-H30)/2</f>
        <v>1300</v>
      </c>
      <c r="K32" s="17"/>
      <c r="L32" s="17"/>
      <c r="M32" s="17"/>
      <c r="N32" s="17"/>
      <c r="O32" s="17"/>
      <c r="P32" s="17"/>
      <c r="Q32" s="17"/>
    </row>
    <row r="33" ht="15.75" customHeight="1">
      <c r="A33" s="23" t="s">
        <v>34</v>
      </c>
      <c r="B33" s="22"/>
      <c r="C33" s="22"/>
      <c r="D33" s="23" t="s">
        <v>33</v>
      </c>
      <c r="E33" s="47">
        <f t="shared" si="6"/>
        <v>92083.33333</v>
      </c>
      <c r="F33" s="47">
        <f t="shared" si="7"/>
        <v>368333.3333</v>
      </c>
      <c r="G33" s="48">
        <v>3.0</v>
      </c>
      <c r="H33" s="35">
        <f>(H27-H30)/2</f>
        <v>1300</v>
      </c>
      <c r="I33" s="25"/>
      <c r="K33" s="17"/>
      <c r="L33" s="17"/>
      <c r="M33" s="17"/>
      <c r="N33" s="17"/>
      <c r="O33" s="17"/>
      <c r="P33" s="17"/>
      <c r="Q33" s="17"/>
    </row>
    <row r="34" ht="15.75" customHeight="1">
      <c r="A34" s="42" t="s">
        <v>35</v>
      </c>
      <c r="B34" s="42"/>
      <c r="C34" s="42"/>
      <c r="D34" s="42"/>
      <c r="E34" s="49">
        <f t="shared" si="6"/>
        <v>147.3333333</v>
      </c>
      <c r="F34" s="50">
        <f>sum(F30:F33)/1000</f>
        <v>589.3333333</v>
      </c>
      <c r="G34" s="51"/>
      <c r="H34" s="52">
        <f>sum(H30:H33)</f>
        <v>5280</v>
      </c>
      <c r="I34" s="53" t="s">
        <v>36</v>
      </c>
      <c r="K34" s="17"/>
      <c r="L34" s="17"/>
      <c r="M34" s="17"/>
      <c r="N34" s="17"/>
      <c r="O34" s="17"/>
      <c r="P34" s="17"/>
      <c r="Q34" s="17"/>
    </row>
    <row r="35" ht="15.75" customHeight="1">
      <c r="A35" s="45" t="s">
        <v>5</v>
      </c>
      <c r="B35" s="42"/>
      <c r="C35" s="42"/>
      <c r="D35" s="42"/>
      <c r="E35" s="54"/>
      <c r="F35" s="55"/>
      <c r="G35" s="51"/>
      <c r="H35" s="56"/>
      <c r="I35" s="24"/>
      <c r="K35" s="17"/>
      <c r="L35" s="17"/>
      <c r="M35" s="17"/>
      <c r="N35" s="17"/>
      <c r="O35" s="17"/>
      <c r="P35" s="17"/>
      <c r="Q35" s="17"/>
    </row>
    <row r="36" ht="15.75" customHeight="1"/>
    <row r="37" ht="15.75" customHeight="1">
      <c r="A37" s="57" t="s">
        <v>37</v>
      </c>
      <c r="B37" s="58"/>
      <c r="C37" s="58"/>
      <c r="D37" s="58"/>
      <c r="E37" s="58"/>
      <c r="F37" s="58"/>
      <c r="G37" s="58"/>
      <c r="H37" s="59">
        <f>H2+H34</f>
        <v>37280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6">
        <v>63000.0</v>
      </c>
      <c r="I2" s="5">
        <f>H2*11</f>
        <v>693000</v>
      </c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5"/>
      <c r="I3" s="5"/>
      <c r="J3" s="5"/>
      <c r="K3" s="5"/>
      <c r="L3" s="5"/>
    </row>
    <row r="4" ht="15.75" customHeight="1">
      <c r="A4" s="9" t="s">
        <v>4</v>
      </c>
      <c r="B4" s="10"/>
      <c r="C4" s="10"/>
      <c r="D4" s="10"/>
      <c r="E4" s="10"/>
      <c r="F4" s="10"/>
      <c r="G4" s="10"/>
      <c r="H4" s="11">
        <v>28584.0</v>
      </c>
    </row>
    <row r="5" ht="15.75" customHeight="1">
      <c r="A5" s="12" t="s">
        <v>5</v>
      </c>
      <c r="B5" s="10"/>
      <c r="C5" s="10"/>
      <c r="D5" s="10"/>
      <c r="E5" s="10"/>
      <c r="F5" s="10"/>
      <c r="G5" s="10"/>
      <c r="H5" s="13">
        <f>H4/H2</f>
        <v>0.4537142857</v>
      </c>
    </row>
    <row r="6" ht="15.75" customHeight="1">
      <c r="H6" s="14"/>
    </row>
    <row r="7" ht="15.75" customHeight="1">
      <c r="A7" s="15" t="s">
        <v>6</v>
      </c>
      <c r="B7" s="15"/>
      <c r="C7" s="15"/>
      <c r="D7" s="15"/>
      <c r="E7" s="15"/>
      <c r="F7" s="15"/>
      <c r="G7" s="15"/>
      <c r="H7" s="15"/>
      <c r="I7" s="16"/>
      <c r="K7" s="17"/>
      <c r="L7" s="17"/>
      <c r="M7" s="17"/>
      <c r="N7" s="17"/>
      <c r="O7" s="17"/>
      <c r="P7" s="17"/>
      <c r="Q7" s="17"/>
    </row>
    <row r="8" ht="15.75" customHeight="1">
      <c r="A8" s="18" t="s">
        <v>7</v>
      </c>
      <c r="B8" s="18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6"/>
      <c r="K8" s="17"/>
      <c r="L8" s="17"/>
      <c r="M8" s="17"/>
      <c r="N8" s="17"/>
      <c r="O8" s="17"/>
      <c r="P8" s="17"/>
      <c r="Q8" s="17"/>
    </row>
    <row r="9" ht="15.75" customHeight="1">
      <c r="A9" s="19" t="s">
        <v>15</v>
      </c>
      <c r="B9" s="20">
        <v>35.0</v>
      </c>
      <c r="C9" s="20">
        <v>1.0</v>
      </c>
      <c r="D9" s="21" t="s">
        <v>16</v>
      </c>
      <c r="E9" s="22">
        <f t="shared" ref="E9:E28" si="1">F9*0.6</f>
        <v>18</v>
      </c>
      <c r="F9" s="23">
        <f t="shared" ref="F9:F18" si="2">MROUND(B9*0.8,5)</f>
        <v>30</v>
      </c>
      <c r="G9" s="20">
        <v>35.0</v>
      </c>
      <c r="H9" s="22">
        <f t="shared" ref="H9:H28" si="3">F9*G9*C9</f>
        <v>1050</v>
      </c>
      <c r="K9" s="17"/>
      <c r="L9" s="24"/>
      <c r="M9" s="24"/>
      <c r="N9" s="8"/>
      <c r="O9" s="25"/>
      <c r="P9" s="24"/>
      <c r="Q9" s="17"/>
    </row>
    <row r="10" ht="15.75" customHeight="1">
      <c r="A10" s="19" t="s">
        <v>15</v>
      </c>
      <c r="B10" s="20">
        <v>35.0</v>
      </c>
      <c r="C10" s="20">
        <v>1.0</v>
      </c>
      <c r="D10" s="21" t="s">
        <v>16</v>
      </c>
      <c r="E10" s="22">
        <f t="shared" si="1"/>
        <v>18</v>
      </c>
      <c r="F10" s="23">
        <f t="shared" si="2"/>
        <v>30</v>
      </c>
      <c r="G10" s="20">
        <v>35.0</v>
      </c>
      <c r="H10" s="22">
        <f t="shared" si="3"/>
        <v>1050</v>
      </c>
      <c r="K10" s="17"/>
      <c r="L10" s="24"/>
      <c r="M10" s="24"/>
      <c r="N10" s="8"/>
      <c r="O10" s="25"/>
      <c r="P10" s="24"/>
      <c r="Q10" s="17"/>
    </row>
    <row r="11" ht="15.75" customHeight="1">
      <c r="A11" s="19" t="s">
        <v>15</v>
      </c>
      <c r="B11" s="20">
        <v>35.0</v>
      </c>
      <c r="C11" s="20">
        <v>1.0</v>
      </c>
      <c r="D11" s="21" t="s">
        <v>16</v>
      </c>
      <c r="E11" s="22">
        <f t="shared" si="1"/>
        <v>18</v>
      </c>
      <c r="F11" s="23">
        <f t="shared" si="2"/>
        <v>30</v>
      </c>
      <c r="G11" s="20">
        <v>35.0</v>
      </c>
      <c r="H11" s="22">
        <f t="shared" si="3"/>
        <v>1050</v>
      </c>
      <c r="K11" s="17"/>
      <c r="L11" s="24"/>
      <c r="M11" s="24"/>
      <c r="N11" s="8"/>
      <c r="O11" s="25"/>
      <c r="P11" s="24"/>
      <c r="Q11" s="17"/>
    </row>
    <row r="12" ht="15.75" customHeight="1">
      <c r="A12" s="19" t="s">
        <v>15</v>
      </c>
      <c r="B12" s="20">
        <v>35.0</v>
      </c>
      <c r="C12" s="20">
        <v>1.0</v>
      </c>
      <c r="D12" s="21" t="s">
        <v>16</v>
      </c>
      <c r="E12" s="22">
        <f t="shared" si="1"/>
        <v>18</v>
      </c>
      <c r="F12" s="23">
        <f t="shared" si="2"/>
        <v>30</v>
      </c>
      <c r="G12" s="20">
        <v>35.0</v>
      </c>
      <c r="H12" s="22">
        <f t="shared" si="3"/>
        <v>1050</v>
      </c>
      <c r="K12" s="17"/>
      <c r="L12" s="24"/>
      <c r="M12" s="24"/>
      <c r="N12" s="8"/>
      <c r="O12" s="25"/>
      <c r="P12" s="24"/>
      <c r="Q12" s="17"/>
    </row>
    <row r="13" ht="15.75" customHeight="1">
      <c r="A13" s="19" t="s">
        <v>15</v>
      </c>
      <c r="B13" s="20">
        <v>35.0</v>
      </c>
      <c r="C13" s="20">
        <v>1.0</v>
      </c>
      <c r="D13" s="21" t="s">
        <v>16</v>
      </c>
      <c r="E13" s="22">
        <f t="shared" si="1"/>
        <v>18</v>
      </c>
      <c r="F13" s="23">
        <f t="shared" si="2"/>
        <v>30</v>
      </c>
      <c r="G13" s="20">
        <v>35.0</v>
      </c>
      <c r="H13" s="22">
        <f t="shared" si="3"/>
        <v>1050</v>
      </c>
      <c r="K13" s="17"/>
      <c r="L13" s="24"/>
      <c r="M13" s="24"/>
      <c r="N13" s="8"/>
      <c r="O13" s="25"/>
      <c r="P13" s="24"/>
      <c r="Q13" s="17"/>
    </row>
    <row r="14" ht="15.75" customHeight="1">
      <c r="A14" s="60" t="s">
        <v>15</v>
      </c>
      <c r="B14" s="61">
        <v>35.0</v>
      </c>
      <c r="C14" s="61">
        <v>1.0</v>
      </c>
      <c r="D14" s="62" t="s">
        <v>16</v>
      </c>
      <c r="E14" s="63">
        <f t="shared" si="1"/>
        <v>18</v>
      </c>
      <c r="F14" s="35">
        <f t="shared" si="2"/>
        <v>30</v>
      </c>
      <c r="G14" s="20">
        <v>35.0</v>
      </c>
      <c r="H14" s="63">
        <f t="shared" si="3"/>
        <v>1050</v>
      </c>
      <c r="I14" s="64"/>
      <c r="J14" s="64"/>
      <c r="K14" s="24"/>
      <c r="L14" s="24"/>
      <c r="M14" s="24"/>
      <c r="N14" s="8"/>
      <c r="O14" s="24"/>
      <c r="P14" s="24"/>
      <c r="Q14" s="2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 ht="15.75" customHeight="1">
      <c r="A15" s="60" t="s">
        <v>15</v>
      </c>
      <c r="B15" s="65">
        <v>75.0</v>
      </c>
      <c r="C15" s="61">
        <v>1.0</v>
      </c>
      <c r="D15" s="62" t="s">
        <v>16</v>
      </c>
      <c r="E15" s="63">
        <f t="shared" si="1"/>
        <v>36</v>
      </c>
      <c r="F15" s="35">
        <f t="shared" si="2"/>
        <v>60</v>
      </c>
      <c r="G15" s="20">
        <v>35.0</v>
      </c>
      <c r="H15" s="63">
        <f t="shared" si="3"/>
        <v>2100</v>
      </c>
      <c r="I15" s="64"/>
      <c r="J15" s="64"/>
      <c r="K15" s="24"/>
      <c r="L15" s="24"/>
      <c r="M15" s="24"/>
      <c r="N15" s="8"/>
      <c r="O15" s="24"/>
      <c r="P15" s="24"/>
      <c r="Q15" s="2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 ht="15.75" customHeight="1">
      <c r="A16" s="60" t="s">
        <v>15</v>
      </c>
      <c r="B16" s="65">
        <v>75.0</v>
      </c>
      <c r="C16" s="61">
        <v>1.0</v>
      </c>
      <c r="D16" s="62" t="s">
        <v>16</v>
      </c>
      <c r="E16" s="63">
        <f t="shared" si="1"/>
        <v>36</v>
      </c>
      <c r="F16" s="35">
        <f t="shared" si="2"/>
        <v>60</v>
      </c>
      <c r="G16" s="20">
        <v>35.0</v>
      </c>
      <c r="H16" s="63">
        <f t="shared" si="3"/>
        <v>2100</v>
      </c>
      <c r="I16" s="64"/>
      <c r="J16" s="64"/>
      <c r="K16" s="24"/>
      <c r="L16" s="24"/>
      <c r="M16" s="24"/>
      <c r="N16" s="8"/>
      <c r="O16" s="24"/>
      <c r="P16" s="24"/>
      <c r="Q16" s="2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 ht="15.75" customHeight="1">
      <c r="A17" s="60" t="s">
        <v>15</v>
      </c>
      <c r="B17" s="65">
        <v>75.0</v>
      </c>
      <c r="C17" s="61">
        <v>1.0</v>
      </c>
      <c r="D17" s="62" t="s">
        <v>16</v>
      </c>
      <c r="E17" s="63">
        <f t="shared" si="1"/>
        <v>36</v>
      </c>
      <c r="F17" s="35">
        <f t="shared" si="2"/>
        <v>60</v>
      </c>
      <c r="G17" s="20">
        <v>35.0</v>
      </c>
      <c r="H17" s="63">
        <f t="shared" si="3"/>
        <v>2100</v>
      </c>
      <c r="I17" s="64"/>
      <c r="J17" s="64"/>
      <c r="K17" s="24"/>
      <c r="L17" s="24"/>
      <c r="M17" s="24"/>
      <c r="N17" s="8"/>
      <c r="O17" s="24"/>
      <c r="P17" s="24"/>
      <c r="Q17" s="2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ht="15.75" customHeight="1">
      <c r="A18" s="60" t="s">
        <v>15</v>
      </c>
      <c r="B18" s="65">
        <v>75.0</v>
      </c>
      <c r="C18" s="61">
        <v>1.0</v>
      </c>
      <c r="D18" s="62" t="s">
        <v>16</v>
      </c>
      <c r="E18" s="63">
        <f t="shared" si="1"/>
        <v>36</v>
      </c>
      <c r="F18" s="35">
        <f t="shared" si="2"/>
        <v>60</v>
      </c>
      <c r="G18" s="20">
        <v>35.0</v>
      </c>
      <c r="H18" s="63">
        <f t="shared" si="3"/>
        <v>2100</v>
      </c>
      <c r="I18" s="64"/>
      <c r="J18" s="64"/>
      <c r="K18" s="24"/>
      <c r="L18" s="24"/>
      <c r="M18" s="24"/>
      <c r="N18" s="8"/>
      <c r="O18" s="24"/>
      <c r="P18" s="24"/>
      <c r="Q18" s="2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ht="15.75" customHeight="1">
      <c r="A19" s="60" t="s">
        <v>17</v>
      </c>
      <c r="B19" s="61">
        <v>35.0</v>
      </c>
      <c r="C19" s="61">
        <v>1.0</v>
      </c>
      <c r="D19" s="62" t="s">
        <v>16</v>
      </c>
      <c r="E19" s="63">
        <f t="shared" si="1"/>
        <v>15</v>
      </c>
      <c r="F19" s="35">
        <f t="shared" ref="F19:F28" si="4">MROUND(B19*0.7,5)</f>
        <v>25</v>
      </c>
      <c r="G19" s="20">
        <v>46.0</v>
      </c>
      <c r="H19" s="63">
        <f t="shared" si="3"/>
        <v>1150</v>
      </c>
      <c r="I19" s="64"/>
      <c r="J19" s="64"/>
      <c r="K19" s="24"/>
      <c r="L19" s="24"/>
      <c r="M19" s="24"/>
      <c r="N19" s="8"/>
      <c r="O19" s="24"/>
      <c r="P19" s="24"/>
      <c r="Q19" s="2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 ht="15.75" customHeight="1">
      <c r="A20" s="60" t="s">
        <v>17</v>
      </c>
      <c r="B20" s="65">
        <v>35.0</v>
      </c>
      <c r="C20" s="61">
        <v>1.0</v>
      </c>
      <c r="D20" s="62" t="s">
        <v>16</v>
      </c>
      <c r="E20" s="63">
        <f t="shared" si="1"/>
        <v>15</v>
      </c>
      <c r="F20" s="35">
        <f t="shared" si="4"/>
        <v>25</v>
      </c>
      <c r="G20" s="20">
        <v>46.0</v>
      </c>
      <c r="H20" s="63">
        <f t="shared" si="3"/>
        <v>1150</v>
      </c>
      <c r="I20" s="64"/>
      <c r="J20" s="64"/>
      <c r="K20" s="24"/>
      <c r="L20" s="24"/>
      <c r="M20" s="24"/>
      <c r="N20" s="8"/>
      <c r="O20" s="24"/>
      <c r="P20" s="24"/>
      <c r="Q20" s="2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 ht="15.75" customHeight="1">
      <c r="A21" s="60" t="s">
        <v>17</v>
      </c>
      <c r="B21" s="65">
        <v>35.0</v>
      </c>
      <c r="C21" s="61">
        <v>1.0</v>
      </c>
      <c r="D21" s="62" t="s">
        <v>16</v>
      </c>
      <c r="E21" s="63">
        <f t="shared" si="1"/>
        <v>15</v>
      </c>
      <c r="F21" s="35">
        <f t="shared" si="4"/>
        <v>25</v>
      </c>
      <c r="G21" s="20">
        <v>46.0</v>
      </c>
      <c r="H21" s="63">
        <f t="shared" si="3"/>
        <v>1150</v>
      </c>
      <c r="I21" s="64"/>
      <c r="J21" s="64"/>
      <c r="K21" s="24"/>
      <c r="L21" s="24"/>
      <c r="M21" s="24"/>
      <c r="N21" s="8"/>
      <c r="O21" s="24"/>
      <c r="P21" s="24"/>
      <c r="Q21" s="2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ht="15.75" customHeight="1">
      <c r="A22" s="60" t="s">
        <v>17</v>
      </c>
      <c r="B22" s="61">
        <v>35.0</v>
      </c>
      <c r="C22" s="61">
        <v>1.0</v>
      </c>
      <c r="D22" s="62" t="s">
        <v>16</v>
      </c>
      <c r="E22" s="63">
        <f t="shared" si="1"/>
        <v>15</v>
      </c>
      <c r="F22" s="35">
        <f t="shared" si="4"/>
        <v>25</v>
      </c>
      <c r="G22" s="20">
        <v>46.0</v>
      </c>
      <c r="H22" s="63">
        <f t="shared" si="3"/>
        <v>1150</v>
      </c>
      <c r="I22" s="64"/>
      <c r="J22" s="64"/>
      <c r="K22" s="24"/>
      <c r="L22" s="24"/>
      <c r="M22" s="24"/>
      <c r="N22" s="8"/>
      <c r="O22" s="24"/>
      <c r="P22" s="24"/>
      <c r="Q22" s="2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ht="15.75" customHeight="1">
      <c r="A23" s="60" t="s">
        <v>17</v>
      </c>
      <c r="B23" s="61">
        <v>35.0</v>
      </c>
      <c r="C23" s="61">
        <v>1.0</v>
      </c>
      <c r="D23" s="62" t="s">
        <v>16</v>
      </c>
      <c r="E23" s="63">
        <f t="shared" si="1"/>
        <v>15</v>
      </c>
      <c r="F23" s="35">
        <f t="shared" si="4"/>
        <v>25</v>
      </c>
      <c r="G23" s="20">
        <v>46.0</v>
      </c>
      <c r="H23" s="63">
        <f t="shared" si="3"/>
        <v>1150</v>
      </c>
      <c r="I23" s="64"/>
      <c r="J23" s="64"/>
      <c r="K23" s="24"/>
      <c r="L23" s="24"/>
      <c r="M23" s="24"/>
      <c r="N23" s="8"/>
      <c r="O23" s="24"/>
      <c r="P23" s="24"/>
      <c r="Q23" s="2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ht="15.75" customHeight="1">
      <c r="A24" s="19" t="s">
        <v>17</v>
      </c>
      <c r="B24" s="20">
        <v>35.0</v>
      </c>
      <c r="C24" s="20">
        <v>1.0</v>
      </c>
      <c r="D24" s="21" t="s">
        <v>16</v>
      </c>
      <c r="E24" s="22">
        <f t="shared" si="1"/>
        <v>15</v>
      </c>
      <c r="F24" s="23">
        <f t="shared" si="4"/>
        <v>25</v>
      </c>
      <c r="G24" s="20">
        <v>46.0</v>
      </c>
      <c r="H24" s="22">
        <f t="shared" si="3"/>
        <v>1150</v>
      </c>
      <c r="K24" s="17"/>
      <c r="L24" s="24"/>
      <c r="M24" s="24"/>
      <c r="N24" s="8"/>
      <c r="O24" s="25"/>
      <c r="P24" s="24"/>
      <c r="Q24" s="17"/>
    </row>
    <row r="25" ht="15.75" customHeight="1">
      <c r="A25" s="19" t="s">
        <v>17</v>
      </c>
      <c r="B25" s="20">
        <v>75.0</v>
      </c>
      <c r="C25" s="20">
        <v>1.0</v>
      </c>
      <c r="D25" s="21" t="s">
        <v>16</v>
      </c>
      <c r="E25" s="22">
        <f t="shared" si="1"/>
        <v>33</v>
      </c>
      <c r="F25" s="23">
        <f t="shared" si="4"/>
        <v>55</v>
      </c>
      <c r="G25" s="20">
        <v>46.0</v>
      </c>
      <c r="H25" s="22">
        <f t="shared" si="3"/>
        <v>2530</v>
      </c>
      <c r="K25" s="17"/>
      <c r="L25" s="24"/>
      <c r="M25" s="24"/>
      <c r="N25" s="8"/>
      <c r="O25" s="25"/>
      <c r="P25" s="24"/>
      <c r="Q25" s="17"/>
    </row>
    <row r="26" ht="15.75" customHeight="1">
      <c r="A26" s="19" t="s">
        <v>17</v>
      </c>
      <c r="B26" s="20">
        <v>75.0</v>
      </c>
      <c r="C26" s="20">
        <v>1.0</v>
      </c>
      <c r="D26" s="21" t="s">
        <v>16</v>
      </c>
      <c r="E26" s="22">
        <f t="shared" si="1"/>
        <v>33</v>
      </c>
      <c r="F26" s="23">
        <f t="shared" si="4"/>
        <v>55</v>
      </c>
      <c r="G26" s="20">
        <v>46.0</v>
      </c>
      <c r="H26" s="22">
        <f t="shared" si="3"/>
        <v>2530</v>
      </c>
      <c r="K26" s="17"/>
      <c r="L26" s="24"/>
      <c r="M26" s="24"/>
      <c r="N26" s="8"/>
      <c r="O26" s="25"/>
      <c r="P26" s="24"/>
      <c r="Q26" s="17"/>
    </row>
    <row r="27" ht="15.75" customHeight="1">
      <c r="A27" s="19" t="s">
        <v>17</v>
      </c>
      <c r="B27" s="20">
        <v>75.0</v>
      </c>
      <c r="C27" s="20">
        <v>1.0</v>
      </c>
      <c r="D27" s="21" t="s">
        <v>16</v>
      </c>
      <c r="E27" s="22">
        <f t="shared" si="1"/>
        <v>33</v>
      </c>
      <c r="F27" s="23">
        <f t="shared" si="4"/>
        <v>55</v>
      </c>
      <c r="G27" s="20">
        <v>46.0</v>
      </c>
      <c r="H27" s="22">
        <f t="shared" si="3"/>
        <v>2530</v>
      </c>
      <c r="K27" s="17"/>
      <c r="L27" s="24"/>
      <c r="M27" s="24"/>
      <c r="N27" s="8"/>
      <c r="O27" s="25"/>
      <c r="P27" s="24"/>
      <c r="Q27" s="17"/>
    </row>
    <row r="28" ht="15.75" customHeight="1">
      <c r="A28" s="19" t="s">
        <v>17</v>
      </c>
      <c r="B28" s="20">
        <v>75.0</v>
      </c>
      <c r="C28" s="20">
        <v>1.0</v>
      </c>
      <c r="D28" s="21" t="s">
        <v>16</v>
      </c>
      <c r="E28" s="22">
        <f t="shared" si="1"/>
        <v>33</v>
      </c>
      <c r="F28" s="23">
        <f t="shared" si="4"/>
        <v>55</v>
      </c>
      <c r="G28" s="20">
        <v>46.0</v>
      </c>
      <c r="H28" s="22">
        <f t="shared" si="3"/>
        <v>2530</v>
      </c>
      <c r="K28" s="17"/>
      <c r="L28" s="24"/>
      <c r="M28" s="24"/>
      <c r="N28" s="8"/>
      <c r="O28" s="25"/>
      <c r="P28" s="24"/>
      <c r="Q28" s="17"/>
    </row>
    <row r="29" ht="15.75" customHeight="1">
      <c r="A29" s="15" t="str">
        <f>"Total: "&amp;COUNTA(A9:A28)</f>
        <v>Total: 20</v>
      </c>
      <c r="B29" s="15"/>
      <c r="C29" s="15"/>
      <c r="D29" s="15"/>
      <c r="E29" s="15">
        <f>sum(E9:E28)</f>
        <v>474</v>
      </c>
      <c r="F29" s="15">
        <f>SUM(F9:F28)</f>
        <v>790</v>
      </c>
      <c r="G29" s="15"/>
      <c r="H29" s="15">
        <f>sum(H9:H28)</f>
        <v>31720</v>
      </c>
      <c r="I29" s="26" t="s">
        <v>18</v>
      </c>
      <c r="J29" s="5"/>
      <c r="K29" s="24"/>
      <c r="L29" s="24"/>
      <c r="M29" s="17"/>
      <c r="N29" s="17"/>
      <c r="O29" s="17"/>
      <c r="P29" s="17"/>
      <c r="Q29" s="17"/>
    </row>
    <row r="30" ht="15.75" customHeight="1">
      <c r="H30" s="27">
        <f>I30*0.925</f>
        <v>31834.8</v>
      </c>
      <c r="I30" s="28">
        <f>H2-H4</f>
        <v>34416</v>
      </c>
      <c r="J30" s="5"/>
      <c r="K30" s="24"/>
      <c r="L30" s="24"/>
      <c r="M30" s="17"/>
      <c r="N30" s="17"/>
      <c r="O30" s="17"/>
      <c r="P30" s="17"/>
      <c r="Q30" s="17"/>
    </row>
    <row r="31" ht="15.75" customHeight="1">
      <c r="G31" s="19" t="s">
        <v>19</v>
      </c>
      <c r="H31" s="29">
        <f>H30-H29</f>
        <v>114.8</v>
      </c>
      <c r="J31" s="5"/>
      <c r="K31" s="5"/>
      <c r="L31" s="5"/>
    </row>
    <row r="32" ht="15.75" customHeight="1">
      <c r="A32" s="30" t="s">
        <v>20</v>
      </c>
      <c r="B32" s="30"/>
      <c r="C32" s="30"/>
      <c r="D32" s="30"/>
      <c r="E32" s="30"/>
      <c r="F32" s="31"/>
      <c r="G32" s="31"/>
      <c r="H32" s="32"/>
      <c r="J32" s="5"/>
      <c r="K32" s="5"/>
      <c r="L32" s="5"/>
    </row>
    <row r="33" ht="15.75" customHeight="1">
      <c r="A33" s="30"/>
      <c r="B33" s="30"/>
      <c r="C33" s="30"/>
      <c r="D33" s="30"/>
      <c r="E33" s="31" t="s">
        <v>21</v>
      </c>
      <c r="F33" s="31" t="s">
        <v>22</v>
      </c>
      <c r="G33" s="31" t="s">
        <v>23</v>
      </c>
      <c r="H33" s="32"/>
      <c r="J33" s="5"/>
      <c r="K33" s="5"/>
      <c r="L33" s="5"/>
    </row>
    <row r="34" ht="15.75" customHeight="1">
      <c r="A34" s="30"/>
      <c r="B34" s="30"/>
      <c r="C34" s="30"/>
      <c r="D34" s="30"/>
      <c r="E34" s="30">
        <f t="shared" ref="E34:F34" si="5">E29*1000</f>
        <v>474000</v>
      </c>
      <c r="F34" s="33">
        <f t="shared" si="5"/>
        <v>790000</v>
      </c>
      <c r="G34" s="33">
        <f>(H2/F34)*1000</f>
        <v>79.74683544</v>
      </c>
      <c r="H34" s="32"/>
      <c r="J34" s="5"/>
      <c r="K34" s="5"/>
      <c r="L34" s="5"/>
    </row>
    <row r="35" ht="15.75" customHeight="1">
      <c r="A35" s="7"/>
      <c r="B35" s="5"/>
      <c r="C35" s="5"/>
      <c r="D35" s="5"/>
      <c r="E35" s="5"/>
      <c r="F35" s="5"/>
      <c r="G35" s="34"/>
      <c r="H35" s="35"/>
      <c r="I35" s="5"/>
      <c r="J35" s="5"/>
      <c r="K35" s="5"/>
      <c r="L35" s="5"/>
    </row>
    <row r="36" ht="15.75" customHeight="1">
      <c r="A36" s="5"/>
      <c r="B36" s="36"/>
      <c r="C36" s="36"/>
      <c r="D36" s="36"/>
      <c r="E36" s="5"/>
      <c r="F36" s="5"/>
      <c r="G36" s="5"/>
      <c r="H36" s="5"/>
      <c r="I36" s="5"/>
      <c r="J36" s="5"/>
      <c r="K36" s="5"/>
      <c r="L36" s="5"/>
    </row>
    <row r="37" ht="15.75" customHeight="1">
      <c r="A37" s="37" t="s">
        <v>24</v>
      </c>
      <c r="B37" s="38"/>
      <c r="C37" s="38"/>
      <c r="D37" s="38"/>
      <c r="E37" s="38"/>
      <c r="F37" s="38"/>
      <c r="G37" s="39"/>
      <c r="H37" s="39">
        <f>H2*0.15</f>
        <v>9450</v>
      </c>
      <c r="I37" s="40" t="s">
        <v>25</v>
      </c>
    </row>
    <row r="38" ht="15.75" customHeight="1">
      <c r="A38" s="41" t="s">
        <v>5</v>
      </c>
      <c r="B38" s="42"/>
      <c r="C38" s="42"/>
      <c r="D38" s="42"/>
      <c r="E38" s="42"/>
      <c r="F38" s="42"/>
      <c r="G38" s="42"/>
      <c r="H38" s="43"/>
    </row>
    <row r="39" ht="15.75" customHeight="1">
      <c r="A39" s="42"/>
      <c r="B39" s="45" t="s">
        <v>38</v>
      </c>
      <c r="C39" s="45" t="s">
        <v>39</v>
      </c>
      <c r="D39" s="45" t="s">
        <v>28</v>
      </c>
      <c r="E39" s="45" t="s">
        <v>21</v>
      </c>
      <c r="F39" s="45" t="s">
        <v>22</v>
      </c>
      <c r="G39" s="45" t="s">
        <v>29</v>
      </c>
      <c r="H39" s="42"/>
      <c r="K39" s="17"/>
      <c r="L39" s="17"/>
      <c r="M39" s="17"/>
      <c r="N39" s="17"/>
      <c r="O39" s="17"/>
      <c r="P39" s="17"/>
      <c r="Q39" s="17"/>
    </row>
    <row r="40" ht="15.75" customHeight="1">
      <c r="A40" s="23" t="s">
        <v>40</v>
      </c>
      <c r="B40" s="20">
        <v>20.0</v>
      </c>
      <c r="C40" s="20">
        <v>220.0</v>
      </c>
      <c r="D40" s="22"/>
      <c r="E40" s="22"/>
      <c r="F40" s="22"/>
      <c r="G40" s="22"/>
      <c r="H40" s="22">
        <f>B40*C40</f>
        <v>4400</v>
      </c>
      <c r="K40" s="17"/>
      <c r="L40" s="17"/>
      <c r="M40" s="17"/>
      <c r="N40" s="17"/>
      <c r="O40" s="17"/>
      <c r="P40" s="17"/>
      <c r="Q40" s="17"/>
    </row>
    <row r="41" ht="15.75" customHeight="1">
      <c r="A41" s="20" t="s">
        <v>31</v>
      </c>
      <c r="B41" s="46">
        <v>0.5</v>
      </c>
      <c r="C41" s="46">
        <f>96</f>
        <v>96</v>
      </c>
      <c r="D41" s="23"/>
      <c r="E41" s="47"/>
      <c r="F41" s="47"/>
      <c r="G41" s="48"/>
      <c r="H41" s="35">
        <f>C41*B41*B40</f>
        <v>960</v>
      </c>
      <c r="K41" s="17"/>
      <c r="L41" s="17"/>
      <c r="M41" s="17"/>
      <c r="N41" s="17"/>
      <c r="O41" s="17"/>
      <c r="P41" s="17"/>
      <c r="Q41" s="17"/>
    </row>
    <row r="42" ht="15.75" customHeight="1">
      <c r="A42" s="23" t="s">
        <v>32</v>
      </c>
      <c r="B42" s="22"/>
      <c r="C42" s="22"/>
      <c r="D42" s="23" t="s">
        <v>33</v>
      </c>
      <c r="E42" s="47">
        <f t="shared" ref="E42:E44" si="6">F42*0.25</f>
        <v>107312.5</v>
      </c>
      <c r="F42" s="47">
        <f t="shared" ref="F42:F43" si="7">sum(1000*H42)/G42*0.85</f>
        <v>429250</v>
      </c>
      <c r="G42" s="48">
        <v>5.0</v>
      </c>
      <c r="H42" s="35">
        <f>(H37-H40)/2</f>
        <v>2525</v>
      </c>
      <c r="K42" s="17"/>
      <c r="L42" s="17"/>
      <c r="M42" s="17"/>
      <c r="N42" s="17"/>
      <c r="O42" s="17"/>
      <c r="P42" s="17"/>
      <c r="Q42" s="17"/>
    </row>
    <row r="43" ht="15.75" customHeight="1">
      <c r="A43" s="23" t="s">
        <v>34</v>
      </c>
      <c r="B43" s="22"/>
      <c r="C43" s="22"/>
      <c r="D43" s="23" t="s">
        <v>33</v>
      </c>
      <c r="E43" s="47">
        <f t="shared" si="6"/>
        <v>178854.1667</v>
      </c>
      <c r="F43" s="47">
        <f t="shared" si="7"/>
        <v>715416.6667</v>
      </c>
      <c r="G43" s="48">
        <v>3.0</v>
      </c>
      <c r="H43" s="35">
        <f>(H37-H40)/2</f>
        <v>2525</v>
      </c>
      <c r="I43" s="25"/>
      <c r="K43" s="17"/>
      <c r="L43" s="17"/>
      <c r="M43" s="17"/>
      <c r="N43" s="17"/>
      <c r="O43" s="17"/>
      <c r="P43" s="17"/>
      <c r="Q43" s="17"/>
    </row>
    <row r="44" ht="15.75" customHeight="1">
      <c r="A44" s="42" t="s">
        <v>35</v>
      </c>
      <c r="B44" s="42"/>
      <c r="C44" s="42"/>
      <c r="D44" s="42"/>
      <c r="E44" s="49">
        <f t="shared" si="6"/>
        <v>286.1666667</v>
      </c>
      <c r="F44" s="50">
        <f>sum(F40:F43)/1000</f>
        <v>1144.666667</v>
      </c>
      <c r="G44" s="51"/>
      <c r="H44" s="52">
        <f>sum(H40:H43)</f>
        <v>10410</v>
      </c>
      <c r="I44" s="53" t="s">
        <v>36</v>
      </c>
      <c r="K44" s="17"/>
      <c r="L44" s="17"/>
      <c r="M44" s="17"/>
      <c r="N44" s="17"/>
      <c r="O44" s="17"/>
      <c r="P44" s="17"/>
      <c r="Q44" s="17"/>
    </row>
    <row r="45" ht="15.75" customHeight="1">
      <c r="A45" s="45" t="s">
        <v>5</v>
      </c>
      <c r="B45" s="42"/>
      <c r="C45" s="42"/>
      <c r="D45" s="42"/>
      <c r="E45" s="54"/>
      <c r="F45" s="55"/>
      <c r="G45" s="51"/>
      <c r="H45" s="56"/>
      <c r="I45" s="24"/>
      <c r="K45" s="17"/>
      <c r="L45" s="17"/>
      <c r="M45" s="17"/>
      <c r="N45" s="17"/>
      <c r="O45" s="17"/>
      <c r="P45" s="17"/>
      <c r="Q45" s="17"/>
    </row>
    <row r="46" ht="15.75" customHeight="1"/>
    <row r="47" ht="15.75" customHeight="1">
      <c r="A47" s="57" t="s">
        <v>37</v>
      </c>
      <c r="B47" s="58"/>
      <c r="C47" s="58"/>
      <c r="D47" s="58"/>
      <c r="E47" s="58"/>
      <c r="F47" s="58"/>
      <c r="G47" s="58"/>
      <c r="H47" s="59">
        <f>H2+H44</f>
        <v>73410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6">
        <v>95000.0</v>
      </c>
      <c r="I2" s="5">
        <f>H2*11</f>
        <v>1045000</v>
      </c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5"/>
      <c r="I3" s="5"/>
      <c r="J3" s="5"/>
      <c r="K3" s="5"/>
      <c r="L3" s="5"/>
    </row>
    <row r="4" ht="15.75" customHeight="1">
      <c r="A4" s="9" t="s">
        <v>4</v>
      </c>
      <c r="B4" s="10"/>
      <c r="C4" s="10"/>
      <c r="D4" s="10"/>
      <c r="E4" s="10"/>
      <c r="F4" s="10"/>
      <c r="G4" s="10"/>
      <c r="H4" s="11">
        <v>42264.0</v>
      </c>
    </row>
    <row r="5" ht="15.75" customHeight="1">
      <c r="A5" s="12" t="s">
        <v>5</v>
      </c>
      <c r="B5" s="10"/>
      <c r="C5" s="10"/>
      <c r="D5" s="10"/>
      <c r="E5" s="10"/>
      <c r="F5" s="10"/>
      <c r="G5" s="10"/>
      <c r="H5" s="13">
        <f>H4/H2</f>
        <v>0.4448842105</v>
      </c>
    </row>
    <row r="6" ht="15.75" customHeight="1">
      <c r="H6" s="14"/>
    </row>
    <row r="7" ht="15.75" customHeight="1">
      <c r="A7" s="15" t="s">
        <v>6</v>
      </c>
      <c r="B7" s="15"/>
      <c r="C7" s="15"/>
      <c r="D7" s="15"/>
      <c r="E7" s="15"/>
      <c r="F7" s="15"/>
      <c r="G7" s="15"/>
      <c r="H7" s="15"/>
      <c r="I7" s="16"/>
      <c r="K7" s="17"/>
      <c r="L7" s="17"/>
      <c r="M7" s="17"/>
      <c r="N7" s="17"/>
      <c r="O7" s="17"/>
      <c r="P7" s="17"/>
      <c r="Q7" s="17"/>
    </row>
    <row r="8" ht="15.75" customHeight="1">
      <c r="A8" s="18" t="s">
        <v>7</v>
      </c>
      <c r="B8" s="18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6"/>
      <c r="K8" s="17"/>
      <c r="L8" s="17"/>
      <c r="M8" s="17"/>
      <c r="N8" s="17"/>
      <c r="O8" s="17"/>
      <c r="P8" s="17"/>
      <c r="Q8" s="17"/>
    </row>
    <row r="9" ht="15.75" customHeight="1">
      <c r="A9" s="19" t="s">
        <v>15</v>
      </c>
      <c r="B9" s="20">
        <v>35.0</v>
      </c>
      <c r="C9" s="20">
        <v>1.0</v>
      </c>
      <c r="D9" s="21" t="s">
        <v>16</v>
      </c>
      <c r="E9" s="22">
        <f t="shared" ref="E9:E38" si="1">F9*0.6</f>
        <v>18</v>
      </c>
      <c r="F9" s="23">
        <f t="shared" ref="F9:F23" si="2">MROUND(B9*0.8,5)</f>
        <v>30</v>
      </c>
      <c r="G9" s="20">
        <v>35.0</v>
      </c>
      <c r="H9" s="22">
        <f t="shared" ref="H9:H38" si="3">F9*G9*C9</f>
        <v>1050</v>
      </c>
      <c r="K9" s="17"/>
      <c r="L9" s="24"/>
      <c r="M9" s="24"/>
      <c r="N9" s="8"/>
      <c r="O9" s="25"/>
      <c r="P9" s="24"/>
      <c r="Q9" s="17"/>
    </row>
    <row r="10" ht="15.75" customHeight="1">
      <c r="A10" s="19" t="s">
        <v>15</v>
      </c>
      <c r="B10" s="20">
        <v>35.0</v>
      </c>
      <c r="C10" s="20">
        <v>1.0</v>
      </c>
      <c r="D10" s="21" t="s">
        <v>16</v>
      </c>
      <c r="E10" s="22">
        <f t="shared" si="1"/>
        <v>18</v>
      </c>
      <c r="F10" s="23">
        <f t="shared" si="2"/>
        <v>30</v>
      </c>
      <c r="G10" s="20">
        <v>35.0</v>
      </c>
      <c r="H10" s="22">
        <f t="shared" si="3"/>
        <v>1050</v>
      </c>
      <c r="K10" s="17"/>
      <c r="L10" s="24"/>
      <c r="M10" s="24"/>
      <c r="N10" s="8"/>
      <c r="O10" s="25"/>
      <c r="P10" s="24"/>
      <c r="Q10" s="17"/>
    </row>
    <row r="11" ht="15.75" customHeight="1">
      <c r="A11" s="19" t="s">
        <v>15</v>
      </c>
      <c r="B11" s="20">
        <v>35.0</v>
      </c>
      <c r="C11" s="20">
        <v>1.0</v>
      </c>
      <c r="D11" s="21" t="s">
        <v>16</v>
      </c>
      <c r="E11" s="22">
        <f t="shared" si="1"/>
        <v>18</v>
      </c>
      <c r="F11" s="23">
        <f t="shared" si="2"/>
        <v>30</v>
      </c>
      <c r="G11" s="20">
        <v>35.0</v>
      </c>
      <c r="H11" s="22">
        <f t="shared" si="3"/>
        <v>1050</v>
      </c>
      <c r="K11" s="17"/>
      <c r="L11" s="24"/>
      <c r="M11" s="24"/>
      <c r="N11" s="8"/>
      <c r="O11" s="25"/>
      <c r="P11" s="24"/>
      <c r="Q11" s="17"/>
    </row>
    <row r="12" ht="15.75" customHeight="1">
      <c r="A12" s="19" t="s">
        <v>15</v>
      </c>
      <c r="B12" s="20">
        <v>35.0</v>
      </c>
      <c r="C12" s="20">
        <v>1.0</v>
      </c>
      <c r="D12" s="21" t="s">
        <v>16</v>
      </c>
      <c r="E12" s="22">
        <f t="shared" si="1"/>
        <v>18</v>
      </c>
      <c r="F12" s="23">
        <f t="shared" si="2"/>
        <v>30</v>
      </c>
      <c r="G12" s="20">
        <v>35.0</v>
      </c>
      <c r="H12" s="22">
        <f t="shared" si="3"/>
        <v>1050</v>
      </c>
      <c r="K12" s="17"/>
      <c r="L12" s="24"/>
      <c r="M12" s="24"/>
      <c r="N12" s="8"/>
      <c r="O12" s="25"/>
      <c r="P12" s="24"/>
      <c r="Q12" s="17"/>
    </row>
    <row r="13" ht="15.75" customHeight="1">
      <c r="A13" s="19" t="s">
        <v>15</v>
      </c>
      <c r="B13" s="20">
        <v>35.0</v>
      </c>
      <c r="C13" s="20">
        <v>1.0</v>
      </c>
      <c r="D13" s="21" t="s">
        <v>16</v>
      </c>
      <c r="E13" s="22">
        <f t="shared" si="1"/>
        <v>18</v>
      </c>
      <c r="F13" s="23">
        <f t="shared" si="2"/>
        <v>30</v>
      </c>
      <c r="G13" s="20">
        <v>35.0</v>
      </c>
      <c r="H13" s="22">
        <f t="shared" si="3"/>
        <v>1050</v>
      </c>
      <c r="K13" s="17"/>
      <c r="L13" s="24"/>
      <c r="M13" s="24"/>
      <c r="N13" s="8"/>
      <c r="O13" s="25"/>
      <c r="P13" s="24"/>
      <c r="Q13" s="17"/>
    </row>
    <row r="14" ht="15.75" customHeight="1">
      <c r="A14" s="60" t="s">
        <v>15</v>
      </c>
      <c r="B14" s="61">
        <v>35.0</v>
      </c>
      <c r="C14" s="61">
        <v>1.0</v>
      </c>
      <c r="D14" s="62" t="s">
        <v>16</v>
      </c>
      <c r="E14" s="63">
        <f t="shared" si="1"/>
        <v>18</v>
      </c>
      <c r="F14" s="35">
        <f t="shared" si="2"/>
        <v>30</v>
      </c>
      <c r="G14" s="20">
        <v>35.0</v>
      </c>
      <c r="H14" s="63">
        <f t="shared" si="3"/>
        <v>1050</v>
      </c>
      <c r="I14" s="64"/>
      <c r="J14" s="64"/>
      <c r="K14" s="24"/>
      <c r="L14" s="24"/>
      <c r="M14" s="24"/>
      <c r="N14" s="8"/>
      <c r="O14" s="24"/>
      <c r="P14" s="24"/>
      <c r="Q14" s="2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 ht="15.75" customHeight="1">
      <c r="A15" s="60" t="s">
        <v>15</v>
      </c>
      <c r="B15" s="61">
        <v>35.0</v>
      </c>
      <c r="C15" s="61">
        <v>1.0</v>
      </c>
      <c r="D15" s="62" t="s">
        <v>16</v>
      </c>
      <c r="E15" s="63">
        <f t="shared" si="1"/>
        <v>18</v>
      </c>
      <c r="F15" s="35">
        <f t="shared" si="2"/>
        <v>30</v>
      </c>
      <c r="G15" s="20">
        <v>35.0</v>
      </c>
      <c r="H15" s="63">
        <f t="shared" si="3"/>
        <v>1050</v>
      </c>
      <c r="I15" s="64"/>
      <c r="J15" s="64"/>
      <c r="K15" s="24"/>
      <c r="L15" s="24"/>
      <c r="M15" s="24"/>
      <c r="N15" s="8"/>
      <c r="O15" s="24"/>
      <c r="P15" s="24"/>
      <c r="Q15" s="2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 ht="15.75" customHeight="1">
      <c r="A16" s="60" t="s">
        <v>15</v>
      </c>
      <c r="B16" s="65">
        <v>75.0</v>
      </c>
      <c r="C16" s="61">
        <v>1.0</v>
      </c>
      <c r="D16" s="62" t="s">
        <v>16</v>
      </c>
      <c r="E16" s="63">
        <f t="shared" si="1"/>
        <v>36</v>
      </c>
      <c r="F16" s="35">
        <f t="shared" si="2"/>
        <v>60</v>
      </c>
      <c r="G16" s="20">
        <v>35.0</v>
      </c>
      <c r="H16" s="63">
        <f t="shared" si="3"/>
        <v>2100</v>
      </c>
      <c r="I16" s="64"/>
      <c r="J16" s="64"/>
      <c r="K16" s="24"/>
      <c r="L16" s="24"/>
      <c r="M16" s="24"/>
      <c r="N16" s="8"/>
      <c r="O16" s="24"/>
      <c r="P16" s="24"/>
      <c r="Q16" s="2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 ht="15.75" customHeight="1">
      <c r="A17" s="60" t="s">
        <v>15</v>
      </c>
      <c r="B17" s="65">
        <v>75.0</v>
      </c>
      <c r="C17" s="61">
        <v>1.0</v>
      </c>
      <c r="D17" s="62" t="s">
        <v>16</v>
      </c>
      <c r="E17" s="63">
        <f t="shared" si="1"/>
        <v>36</v>
      </c>
      <c r="F17" s="35">
        <f t="shared" si="2"/>
        <v>60</v>
      </c>
      <c r="G17" s="20">
        <v>35.0</v>
      </c>
      <c r="H17" s="63">
        <f t="shared" si="3"/>
        <v>2100</v>
      </c>
      <c r="I17" s="64"/>
      <c r="J17" s="64"/>
      <c r="K17" s="24"/>
      <c r="L17" s="24"/>
      <c r="M17" s="24"/>
      <c r="N17" s="8"/>
      <c r="O17" s="24"/>
      <c r="P17" s="24"/>
      <c r="Q17" s="2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ht="15.75" customHeight="1">
      <c r="A18" s="60" t="s">
        <v>15</v>
      </c>
      <c r="B18" s="65">
        <v>75.0</v>
      </c>
      <c r="C18" s="61">
        <v>1.0</v>
      </c>
      <c r="D18" s="62" t="s">
        <v>16</v>
      </c>
      <c r="E18" s="63">
        <f t="shared" si="1"/>
        <v>36</v>
      </c>
      <c r="F18" s="35">
        <f t="shared" si="2"/>
        <v>60</v>
      </c>
      <c r="G18" s="20">
        <v>35.0</v>
      </c>
      <c r="H18" s="63">
        <f t="shared" si="3"/>
        <v>2100</v>
      </c>
      <c r="I18" s="64"/>
      <c r="J18" s="64"/>
      <c r="K18" s="24"/>
      <c r="L18" s="24"/>
      <c r="M18" s="24"/>
      <c r="N18" s="8"/>
      <c r="O18" s="24"/>
      <c r="P18" s="24"/>
      <c r="Q18" s="2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ht="15.75" customHeight="1">
      <c r="A19" s="60" t="s">
        <v>15</v>
      </c>
      <c r="B19" s="65">
        <v>75.0</v>
      </c>
      <c r="C19" s="61">
        <v>1.0</v>
      </c>
      <c r="D19" s="62" t="s">
        <v>16</v>
      </c>
      <c r="E19" s="63">
        <f t="shared" si="1"/>
        <v>36</v>
      </c>
      <c r="F19" s="35">
        <f t="shared" si="2"/>
        <v>60</v>
      </c>
      <c r="G19" s="20">
        <v>35.0</v>
      </c>
      <c r="H19" s="63">
        <f t="shared" si="3"/>
        <v>2100</v>
      </c>
      <c r="I19" s="64"/>
      <c r="J19" s="64"/>
      <c r="K19" s="24"/>
      <c r="L19" s="24"/>
      <c r="M19" s="24"/>
      <c r="N19" s="8"/>
      <c r="O19" s="24"/>
      <c r="P19" s="24"/>
      <c r="Q19" s="2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 ht="15.75" customHeight="1">
      <c r="A20" s="60" t="s">
        <v>15</v>
      </c>
      <c r="B20" s="65">
        <v>75.0</v>
      </c>
      <c r="C20" s="61">
        <v>1.0</v>
      </c>
      <c r="D20" s="62" t="s">
        <v>16</v>
      </c>
      <c r="E20" s="63">
        <f t="shared" si="1"/>
        <v>36</v>
      </c>
      <c r="F20" s="35">
        <f t="shared" si="2"/>
        <v>60</v>
      </c>
      <c r="G20" s="20">
        <v>35.0</v>
      </c>
      <c r="H20" s="63">
        <f t="shared" si="3"/>
        <v>2100</v>
      </c>
      <c r="I20" s="64"/>
      <c r="J20" s="64"/>
      <c r="K20" s="24"/>
      <c r="L20" s="24"/>
      <c r="M20" s="24"/>
      <c r="N20" s="8"/>
      <c r="O20" s="24"/>
      <c r="P20" s="24"/>
      <c r="Q20" s="2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 ht="15.75" customHeight="1">
      <c r="A21" s="60" t="s">
        <v>15</v>
      </c>
      <c r="B21" s="65">
        <v>75.0</v>
      </c>
      <c r="C21" s="61">
        <v>1.0</v>
      </c>
      <c r="D21" s="62" t="s">
        <v>16</v>
      </c>
      <c r="E21" s="63">
        <f t="shared" si="1"/>
        <v>36</v>
      </c>
      <c r="F21" s="35">
        <f t="shared" si="2"/>
        <v>60</v>
      </c>
      <c r="G21" s="20">
        <v>35.0</v>
      </c>
      <c r="H21" s="63">
        <f t="shared" si="3"/>
        <v>2100</v>
      </c>
      <c r="I21" s="64"/>
      <c r="J21" s="64"/>
      <c r="K21" s="24"/>
      <c r="L21" s="24"/>
      <c r="M21" s="24"/>
      <c r="N21" s="8"/>
      <c r="O21" s="24"/>
      <c r="P21" s="24"/>
      <c r="Q21" s="2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ht="15.75" customHeight="1">
      <c r="A22" s="60" t="s">
        <v>15</v>
      </c>
      <c r="B22" s="65">
        <v>75.0</v>
      </c>
      <c r="C22" s="61">
        <v>1.0</v>
      </c>
      <c r="D22" s="62" t="s">
        <v>16</v>
      </c>
      <c r="E22" s="63">
        <f t="shared" si="1"/>
        <v>36</v>
      </c>
      <c r="F22" s="35">
        <f t="shared" si="2"/>
        <v>60</v>
      </c>
      <c r="G22" s="20">
        <v>35.0</v>
      </c>
      <c r="H22" s="63">
        <f t="shared" si="3"/>
        <v>2100</v>
      </c>
      <c r="I22" s="64"/>
      <c r="J22" s="64"/>
      <c r="K22" s="24"/>
      <c r="L22" s="24"/>
      <c r="M22" s="24"/>
      <c r="N22" s="8"/>
      <c r="O22" s="24"/>
      <c r="P22" s="24"/>
      <c r="Q22" s="2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ht="15.75" customHeight="1">
      <c r="A23" s="60" t="s">
        <v>15</v>
      </c>
      <c r="B23" s="65">
        <v>75.0</v>
      </c>
      <c r="C23" s="61">
        <v>1.0</v>
      </c>
      <c r="D23" s="62" t="s">
        <v>16</v>
      </c>
      <c r="E23" s="63">
        <f t="shared" si="1"/>
        <v>36</v>
      </c>
      <c r="F23" s="35">
        <f t="shared" si="2"/>
        <v>60</v>
      </c>
      <c r="G23" s="20">
        <v>35.0</v>
      </c>
      <c r="H23" s="63">
        <f t="shared" si="3"/>
        <v>2100</v>
      </c>
      <c r="I23" s="64"/>
      <c r="J23" s="64"/>
      <c r="K23" s="24"/>
      <c r="L23" s="24"/>
      <c r="M23" s="24"/>
      <c r="N23" s="8"/>
      <c r="O23" s="24"/>
      <c r="P23" s="24"/>
      <c r="Q23" s="2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ht="15.75" customHeight="1">
      <c r="A24" s="60" t="s">
        <v>17</v>
      </c>
      <c r="B24" s="65">
        <v>35.0</v>
      </c>
      <c r="C24" s="61">
        <v>1.0</v>
      </c>
      <c r="D24" s="62" t="s">
        <v>16</v>
      </c>
      <c r="E24" s="63">
        <f t="shared" si="1"/>
        <v>15</v>
      </c>
      <c r="F24" s="35">
        <f t="shared" ref="F24:F38" si="4">MROUND(B24*0.7,5)</f>
        <v>25</v>
      </c>
      <c r="G24" s="20">
        <v>46.0</v>
      </c>
      <c r="H24" s="63">
        <f t="shared" si="3"/>
        <v>1150</v>
      </c>
      <c r="I24" s="64"/>
      <c r="J24" s="64"/>
      <c r="K24" s="24"/>
      <c r="L24" s="24"/>
      <c r="M24" s="24"/>
      <c r="N24" s="8"/>
      <c r="O24" s="24"/>
      <c r="P24" s="24"/>
      <c r="Q24" s="2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ht="15.75" customHeight="1">
      <c r="A25" s="60" t="s">
        <v>17</v>
      </c>
      <c r="B25" s="65">
        <v>35.0</v>
      </c>
      <c r="C25" s="61">
        <v>1.0</v>
      </c>
      <c r="D25" s="62" t="s">
        <v>16</v>
      </c>
      <c r="E25" s="63">
        <f t="shared" si="1"/>
        <v>15</v>
      </c>
      <c r="F25" s="35">
        <f t="shared" si="4"/>
        <v>25</v>
      </c>
      <c r="G25" s="20">
        <v>46.0</v>
      </c>
      <c r="H25" s="63">
        <f t="shared" si="3"/>
        <v>1150</v>
      </c>
      <c r="I25" s="64"/>
      <c r="J25" s="64"/>
      <c r="K25" s="24"/>
      <c r="L25" s="24"/>
      <c r="M25" s="24"/>
      <c r="N25" s="8"/>
      <c r="O25" s="24"/>
      <c r="P25" s="24"/>
      <c r="Q25" s="2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ht="15.75" customHeight="1">
      <c r="A26" s="60" t="s">
        <v>17</v>
      </c>
      <c r="B26" s="65">
        <v>35.0</v>
      </c>
      <c r="C26" s="61">
        <v>1.0</v>
      </c>
      <c r="D26" s="62" t="s">
        <v>16</v>
      </c>
      <c r="E26" s="63">
        <f t="shared" si="1"/>
        <v>15</v>
      </c>
      <c r="F26" s="35">
        <f t="shared" si="4"/>
        <v>25</v>
      </c>
      <c r="G26" s="20">
        <v>46.0</v>
      </c>
      <c r="H26" s="63">
        <f t="shared" si="3"/>
        <v>1150</v>
      </c>
      <c r="I26" s="64"/>
      <c r="J26" s="64"/>
      <c r="K26" s="24"/>
      <c r="L26" s="24"/>
      <c r="M26" s="24"/>
      <c r="N26" s="8"/>
      <c r="O26" s="24"/>
      <c r="P26" s="24"/>
      <c r="Q26" s="2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ht="15.75" customHeight="1">
      <c r="A27" s="60" t="s">
        <v>17</v>
      </c>
      <c r="B27" s="65">
        <v>35.0</v>
      </c>
      <c r="C27" s="61">
        <v>1.0</v>
      </c>
      <c r="D27" s="62" t="s">
        <v>16</v>
      </c>
      <c r="E27" s="63">
        <f t="shared" si="1"/>
        <v>15</v>
      </c>
      <c r="F27" s="35">
        <f t="shared" si="4"/>
        <v>25</v>
      </c>
      <c r="G27" s="20">
        <v>46.0</v>
      </c>
      <c r="H27" s="63">
        <f t="shared" si="3"/>
        <v>1150</v>
      </c>
      <c r="I27" s="64"/>
      <c r="J27" s="64"/>
      <c r="K27" s="24"/>
      <c r="L27" s="24"/>
      <c r="M27" s="24"/>
      <c r="N27" s="8"/>
      <c r="O27" s="24"/>
      <c r="P27" s="24"/>
      <c r="Q27" s="2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 ht="15.75" customHeight="1">
      <c r="A28" s="60" t="s">
        <v>17</v>
      </c>
      <c r="B28" s="61">
        <v>35.0</v>
      </c>
      <c r="C28" s="61">
        <v>1.0</v>
      </c>
      <c r="D28" s="62" t="s">
        <v>16</v>
      </c>
      <c r="E28" s="63">
        <f t="shared" si="1"/>
        <v>15</v>
      </c>
      <c r="F28" s="35">
        <f t="shared" si="4"/>
        <v>25</v>
      </c>
      <c r="G28" s="20">
        <v>46.0</v>
      </c>
      <c r="H28" s="63">
        <f t="shared" si="3"/>
        <v>1150</v>
      </c>
      <c r="I28" s="64"/>
      <c r="J28" s="64"/>
      <c r="K28" s="24"/>
      <c r="L28" s="24"/>
      <c r="M28" s="24"/>
      <c r="N28" s="8"/>
      <c r="O28" s="24"/>
      <c r="P28" s="24"/>
      <c r="Q28" s="2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ht="15.75" customHeight="1">
      <c r="A29" s="60" t="s">
        <v>17</v>
      </c>
      <c r="B29" s="61">
        <v>35.0</v>
      </c>
      <c r="C29" s="61">
        <v>1.0</v>
      </c>
      <c r="D29" s="62" t="s">
        <v>16</v>
      </c>
      <c r="E29" s="63">
        <f t="shared" si="1"/>
        <v>15</v>
      </c>
      <c r="F29" s="35">
        <f t="shared" si="4"/>
        <v>25</v>
      </c>
      <c r="G29" s="20">
        <v>46.0</v>
      </c>
      <c r="H29" s="63">
        <f t="shared" si="3"/>
        <v>1150</v>
      </c>
      <c r="I29" s="64"/>
      <c r="J29" s="64"/>
      <c r="K29" s="24"/>
      <c r="L29" s="24"/>
      <c r="M29" s="24"/>
      <c r="N29" s="8"/>
      <c r="O29" s="24"/>
      <c r="P29" s="24"/>
      <c r="Q29" s="2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5.75" customHeight="1">
      <c r="A30" s="60" t="s">
        <v>17</v>
      </c>
      <c r="B30" s="61">
        <v>35.0</v>
      </c>
      <c r="C30" s="61">
        <v>1.0</v>
      </c>
      <c r="D30" s="62" t="s">
        <v>16</v>
      </c>
      <c r="E30" s="63">
        <f t="shared" si="1"/>
        <v>15</v>
      </c>
      <c r="F30" s="35">
        <f t="shared" si="4"/>
        <v>25</v>
      </c>
      <c r="G30" s="20">
        <v>46.0</v>
      </c>
      <c r="H30" s="63">
        <f t="shared" si="3"/>
        <v>1150</v>
      </c>
      <c r="I30" s="64"/>
      <c r="J30" s="64"/>
      <c r="K30" s="24"/>
      <c r="L30" s="24"/>
      <c r="M30" s="24"/>
      <c r="N30" s="8"/>
      <c r="O30" s="24"/>
      <c r="P30" s="24"/>
      <c r="Q30" s="2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ht="15.75" customHeight="1">
      <c r="A31" s="60" t="s">
        <v>17</v>
      </c>
      <c r="B31" s="61">
        <v>35.0</v>
      </c>
      <c r="C31" s="61">
        <v>1.0</v>
      </c>
      <c r="D31" s="62" t="s">
        <v>16</v>
      </c>
      <c r="E31" s="63">
        <f t="shared" si="1"/>
        <v>15</v>
      </c>
      <c r="F31" s="35">
        <f t="shared" si="4"/>
        <v>25</v>
      </c>
      <c r="G31" s="20">
        <v>46.0</v>
      </c>
      <c r="H31" s="63">
        <f t="shared" si="3"/>
        <v>1150</v>
      </c>
      <c r="I31" s="64"/>
      <c r="J31" s="64"/>
      <c r="K31" s="24"/>
      <c r="L31" s="24"/>
      <c r="M31" s="24"/>
      <c r="N31" s="8"/>
      <c r="O31" s="24"/>
      <c r="P31" s="24"/>
      <c r="Q31" s="2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 ht="15.75" customHeight="1">
      <c r="A32" s="60" t="s">
        <v>17</v>
      </c>
      <c r="B32" s="61">
        <v>35.0</v>
      </c>
      <c r="C32" s="61">
        <v>1.0</v>
      </c>
      <c r="D32" s="62" t="s">
        <v>16</v>
      </c>
      <c r="E32" s="63">
        <f t="shared" si="1"/>
        <v>15</v>
      </c>
      <c r="F32" s="35">
        <f t="shared" si="4"/>
        <v>25</v>
      </c>
      <c r="G32" s="20">
        <v>46.0</v>
      </c>
      <c r="H32" s="63">
        <f t="shared" si="3"/>
        <v>1150</v>
      </c>
      <c r="I32" s="64"/>
      <c r="J32" s="64"/>
      <c r="K32" s="24"/>
      <c r="L32" s="24"/>
      <c r="M32" s="24"/>
      <c r="N32" s="8"/>
      <c r="O32" s="24"/>
      <c r="P32" s="24"/>
      <c r="Q32" s="2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ht="15.75" customHeight="1">
      <c r="A33" s="60" t="s">
        <v>17</v>
      </c>
      <c r="B33" s="61">
        <v>35.0</v>
      </c>
      <c r="C33" s="61">
        <v>1.0</v>
      </c>
      <c r="D33" s="62" t="s">
        <v>16</v>
      </c>
      <c r="E33" s="63">
        <f t="shared" si="1"/>
        <v>15</v>
      </c>
      <c r="F33" s="35">
        <f t="shared" si="4"/>
        <v>25</v>
      </c>
      <c r="G33" s="20">
        <v>46.0</v>
      </c>
      <c r="H33" s="63">
        <f t="shared" si="3"/>
        <v>1150</v>
      </c>
      <c r="I33" s="64"/>
      <c r="J33" s="64"/>
      <c r="K33" s="24"/>
      <c r="L33" s="24"/>
      <c r="M33" s="24"/>
      <c r="N33" s="8"/>
      <c r="O33" s="24"/>
      <c r="P33" s="24"/>
      <c r="Q33" s="2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ht="15.75" customHeight="1">
      <c r="A34" s="19" t="s">
        <v>17</v>
      </c>
      <c r="B34" s="20">
        <v>75.0</v>
      </c>
      <c r="C34" s="20">
        <v>1.0</v>
      </c>
      <c r="D34" s="21" t="s">
        <v>16</v>
      </c>
      <c r="E34" s="22">
        <f t="shared" si="1"/>
        <v>33</v>
      </c>
      <c r="F34" s="23">
        <f t="shared" si="4"/>
        <v>55</v>
      </c>
      <c r="G34" s="20">
        <v>46.0</v>
      </c>
      <c r="H34" s="22">
        <f t="shared" si="3"/>
        <v>2530</v>
      </c>
      <c r="K34" s="17"/>
      <c r="L34" s="24"/>
      <c r="M34" s="24"/>
      <c r="N34" s="8"/>
      <c r="O34" s="25"/>
      <c r="P34" s="24"/>
      <c r="Q34" s="17"/>
    </row>
    <row r="35" ht="15.75" customHeight="1">
      <c r="A35" s="19" t="s">
        <v>17</v>
      </c>
      <c r="B35" s="20">
        <v>75.0</v>
      </c>
      <c r="C35" s="20">
        <v>1.0</v>
      </c>
      <c r="D35" s="21" t="s">
        <v>16</v>
      </c>
      <c r="E35" s="22">
        <f t="shared" si="1"/>
        <v>33</v>
      </c>
      <c r="F35" s="23">
        <f t="shared" si="4"/>
        <v>55</v>
      </c>
      <c r="G35" s="20">
        <v>46.0</v>
      </c>
      <c r="H35" s="22">
        <f t="shared" si="3"/>
        <v>2530</v>
      </c>
      <c r="K35" s="17"/>
      <c r="L35" s="24"/>
      <c r="M35" s="24"/>
      <c r="N35" s="8"/>
      <c r="O35" s="25"/>
      <c r="P35" s="24"/>
      <c r="Q35" s="17"/>
    </row>
    <row r="36" ht="15.75" customHeight="1">
      <c r="A36" s="19" t="s">
        <v>17</v>
      </c>
      <c r="B36" s="20">
        <v>75.0</v>
      </c>
      <c r="C36" s="20">
        <v>1.0</v>
      </c>
      <c r="D36" s="21" t="s">
        <v>16</v>
      </c>
      <c r="E36" s="22">
        <f t="shared" si="1"/>
        <v>33</v>
      </c>
      <c r="F36" s="23">
        <f t="shared" si="4"/>
        <v>55</v>
      </c>
      <c r="G36" s="20">
        <v>46.0</v>
      </c>
      <c r="H36" s="22">
        <f t="shared" si="3"/>
        <v>2530</v>
      </c>
      <c r="K36" s="17"/>
      <c r="L36" s="24"/>
      <c r="M36" s="24"/>
      <c r="N36" s="8"/>
      <c r="O36" s="25"/>
      <c r="P36" s="24"/>
      <c r="Q36" s="17"/>
    </row>
    <row r="37" ht="15.75" customHeight="1">
      <c r="A37" s="19" t="s">
        <v>17</v>
      </c>
      <c r="B37" s="20">
        <v>75.0</v>
      </c>
      <c r="C37" s="20">
        <v>1.0</v>
      </c>
      <c r="D37" s="21" t="s">
        <v>16</v>
      </c>
      <c r="E37" s="22">
        <f t="shared" si="1"/>
        <v>33</v>
      </c>
      <c r="F37" s="23">
        <f t="shared" si="4"/>
        <v>55</v>
      </c>
      <c r="G37" s="20">
        <v>46.0</v>
      </c>
      <c r="H37" s="22">
        <f t="shared" si="3"/>
        <v>2530</v>
      </c>
      <c r="K37" s="17"/>
      <c r="L37" s="24"/>
      <c r="M37" s="24"/>
      <c r="N37" s="8"/>
      <c r="O37" s="25"/>
      <c r="P37" s="24"/>
      <c r="Q37" s="17"/>
    </row>
    <row r="38" ht="15.75" customHeight="1">
      <c r="A38" s="19" t="s">
        <v>17</v>
      </c>
      <c r="B38" s="20">
        <v>75.0</v>
      </c>
      <c r="C38" s="20">
        <v>1.0</v>
      </c>
      <c r="D38" s="21" t="s">
        <v>16</v>
      </c>
      <c r="E38" s="22">
        <f t="shared" si="1"/>
        <v>33</v>
      </c>
      <c r="F38" s="23">
        <f t="shared" si="4"/>
        <v>55</v>
      </c>
      <c r="G38" s="20">
        <v>46.0</v>
      </c>
      <c r="H38" s="22">
        <f t="shared" si="3"/>
        <v>2530</v>
      </c>
      <c r="K38" s="17"/>
      <c r="L38" s="24"/>
      <c r="M38" s="24"/>
      <c r="N38" s="8"/>
      <c r="O38" s="25"/>
      <c r="P38" s="24"/>
      <c r="Q38" s="17"/>
    </row>
    <row r="39" ht="15.75" customHeight="1">
      <c r="A39" s="15" t="str">
        <f>"Total: "&amp;COUNTA(A9:A38)</f>
        <v>Total: 30</v>
      </c>
      <c r="B39" s="15"/>
      <c r="C39" s="15"/>
      <c r="D39" s="15"/>
      <c r="E39" s="15">
        <f>sum(E9:E38)</f>
        <v>729</v>
      </c>
      <c r="F39" s="15">
        <f>SUM(F9:F38)</f>
        <v>1215</v>
      </c>
      <c r="G39" s="15"/>
      <c r="H39" s="15">
        <f>sum(H9:H38)</f>
        <v>48300</v>
      </c>
      <c r="I39" s="26" t="s">
        <v>18</v>
      </c>
      <c r="J39" s="5"/>
      <c r="K39" s="24"/>
      <c r="L39" s="24"/>
      <c r="M39" s="17"/>
      <c r="N39" s="17"/>
      <c r="O39" s="17"/>
      <c r="P39" s="17"/>
      <c r="Q39" s="17"/>
    </row>
    <row r="40" ht="15.75" customHeight="1">
      <c r="H40" s="27">
        <f>I40*0.925</f>
        <v>48780.8</v>
      </c>
      <c r="I40" s="28">
        <f>H2-H4</f>
        <v>52736</v>
      </c>
      <c r="J40" s="5"/>
      <c r="K40" s="24"/>
      <c r="L40" s="24"/>
      <c r="M40" s="17"/>
      <c r="N40" s="17"/>
      <c r="O40" s="17"/>
      <c r="P40" s="17"/>
      <c r="Q40" s="17"/>
    </row>
    <row r="41" ht="15.75" customHeight="1">
      <c r="G41" s="19" t="s">
        <v>19</v>
      </c>
      <c r="H41" s="29">
        <f>H40-H39</f>
        <v>480.8</v>
      </c>
      <c r="J41" s="5"/>
      <c r="K41" s="5"/>
      <c r="L41" s="5"/>
    </row>
    <row r="42" ht="15.75" customHeight="1">
      <c r="A42" s="30" t="s">
        <v>20</v>
      </c>
      <c r="B42" s="30"/>
      <c r="C42" s="30"/>
      <c r="D42" s="30"/>
      <c r="E42" s="30"/>
      <c r="F42" s="31"/>
      <c r="G42" s="31"/>
      <c r="H42" s="32"/>
      <c r="J42" s="5"/>
      <c r="K42" s="5"/>
      <c r="L42" s="5"/>
    </row>
    <row r="43" ht="15.75" customHeight="1">
      <c r="A43" s="30"/>
      <c r="B43" s="30"/>
      <c r="C43" s="30"/>
      <c r="D43" s="30"/>
      <c r="E43" s="31" t="s">
        <v>21</v>
      </c>
      <c r="F43" s="31" t="s">
        <v>22</v>
      </c>
      <c r="G43" s="31" t="s">
        <v>23</v>
      </c>
      <c r="H43" s="32"/>
      <c r="J43" s="5"/>
      <c r="K43" s="5"/>
      <c r="L43" s="5"/>
    </row>
    <row r="44" ht="15.75" customHeight="1">
      <c r="A44" s="30"/>
      <c r="B44" s="30"/>
      <c r="C44" s="30"/>
      <c r="D44" s="30"/>
      <c r="E44" s="30">
        <f t="shared" ref="E44:F44" si="5">E39*1000</f>
        <v>729000</v>
      </c>
      <c r="F44" s="33">
        <f t="shared" si="5"/>
        <v>1215000</v>
      </c>
      <c r="G44" s="33">
        <f>(H2/F44)*1000</f>
        <v>78.18930041</v>
      </c>
      <c r="H44" s="32"/>
      <c r="J44" s="5"/>
      <c r="K44" s="5"/>
      <c r="L44" s="5"/>
    </row>
    <row r="45" ht="15.75" customHeight="1">
      <c r="A45" s="7"/>
      <c r="B45" s="5"/>
      <c r="C45" s="5"/>
      <c r="D45" s="5"/>
      <c r="E45" s="5"/>
      <c r="F45" s="5"/>
      <c r="G45" s="34"/>
      <c r="H45" s="35"/>
      <c r="I45" s="5"/>
      <c r="J45" s="5"/>
      <c r="K45" s="5"/>
      <c r="L45" s="5"/>
    </row>
    <row r="46" ht="15.75" customHeight="1">
      <c r="A46" s="5"/>
      <c r="B46" s="36"/>
      <c r="C46" s="36"/>
      <c r="D46" s="36"/>
      <c r="E46" s="5"/>
      <c r="F46" s="5"/>
      <c r="G46" s="5"/>
      <c r="H46" s="5"/>
      <c r="I46" s="5"/>
      <c r="J46" s="5"/>
      <c r="K46" s="5"/>
      <c r="L46" s="5"/>
    </row>
    <row r="47" ht="15.75" customHeight="1">
      <c r="A47" s="37" t="s">
        <v>24</v>
      </c>
      <c r="B47" s="38"/>
      <c r="C47" s="38"/>
      <c r="D47" s="38"/>
      <c r="E47" s="38"/>
      <c r="F47" s="38"/>
      <c r="G47" s="38"/>
      <c r="H47" s="39">
        <f>H2*0.15</f>
        <v>14250</v>
      </c>
      <c r="I47" s="40" t="s">
        <v>25</v>
      </c>
    </row>
    <row r="48" ht="15.75" customHeight="1">
      <c r="A48" s="41" t="s">
        <v>5</v>
      </c>
      <c r="B48" s="42"/>
      <c r="C48" s="42"/>
      <c r="D48" s="42"/>
      <c r="E48" s="42"/>
      <c r="F48" s="42"/>
      <c r="G48" s="42"/>
      <c r="H48" s="43"/>
    </row>
    <row r="49" ht="15.75" customHeight="1">
      <c r="A49" s="42"/>
      <c r="B49" s="45" t="s">
        <v>38</v>
      </c>
      <c r="C49" s="45" t="s">
        <v>39</v>
      </c>
      <c r="D49" s="45" t="s">
        <v>28</v>
      </c>
      <c r="E49" s="45" t="s">
        <v>21</v>
      </c>
      <c r="F49" s="45" t="s">
        <v>22</v>
      </c>
      <c r="G49" s="45" t="s">
        <v>29</v>
      </c>
      <c r="H49" s="42"/>
      <c r="K49" s="17"/>
      <c r="L49" s="17"/>
      <c r="M49" s="17"/>
      <c r="N49" s="17"/>
      <c r="O49" s="17"/>
      <c r="P49" s="17"/>
      <c r="Q49" s="17"/>
    </row>
    <row r="50" ht="15.75" customHeight="1">
      <c r="A50" s="23" t="s">
        <v>40</v>
      </c>
      <c r="B50" s="20">
        <v>30.0</v>
      </c>
      <c r="C50" s="20">
        <v>220.0</v>
      </c>
      <c r="D50" s="22"/>
      <c r="E50" s="22"/>
      <c r="F50" s="22"/>
      <c r="G50" s="22"/>
      <c r="H50" s="22">
        <f>B50*C50</f>
        <v>6600</v>
      </c>
      <c r="K50" s="17"/>
      <c r="L50" s="17"/>
      <c r="M50" s="17"/>
      <c r="N50" s="17"/>
      <c r="O50" s="17"/>
      <c r="P50" s="17"/>
      <c r="Q50" s="17"/>
    </row>
    <row r="51" ht="15.75" customHeight="1">
      <c r="A51" s="20" t="s">
        <v>31</v>
      </c>
      <c r="B51" s="46">
        <v>0.5</v>
      </c>
      <c r="C51" s="46">
        <f>96</f>
        <v>96</v>
      </c>
      <c r="D51" s="23"/>
      <c r="E51" s="47"/>
      <c r="F51" s="47"/>
      <c r="G51" s="48"/>
      <c r="H51" s="35">
        <f>C51*B51*B50</f>
        <v>1440</v>
      </c>
      <c r="K51" s="17"/>
      <c r="L51" s="17"/>
      <c r="M51" s="17"/>
      <c r="N51" s="17"/>
      <c r="O51" s="17"/>
      <c r="P51" s="17"/>
      <c r="Q51" s="17"/>
    </row>
    <row r="52" ht="15.75" customHeight="1">
      <c r="A52" s="23" t="s">
        <v>32</v>
      </c>
      <c r="B52" s="22"/>
      <c r="C52" s="22"/>
      <c r="D52" s="23" t="s">
        <v>33</v>
      </c>
      <c r="E52" s="47">
        <f t="shared" ref="E52:E54" si="6">F52*0.25</f>
        <v>162562.5</v>
      </c>
      <c r="F52" s="47">
        <f t="shared" ref="F52:F53" si="7">sum(1000*H52)/G52*0.85</f>
        <v>650250</v>
      </c>
      <c r="G52" s="48">
        <v>5.0</v>
      </c>
      <c r="H52" s="35">
        <f>(H47-H50)/2</f>
        <v>3825</v>
      </c>
      <c r="K52" s="17"/>
      <c r="L52" s="17"/>
      <c r="M52" s="17"/>
      <c r="N52" s="17"/>
      <c r="O52" s="17"/>
      <c r="P52" s="17"/>
      <c r="Q52" s="17"/>
    </row>
    <row r="53" ht="15.75" customHeight="1">
      <c r="A53" s="23" t="s">
        <v>34</v>
      </c>
      <c r="B53" s="22"/>
      <c r="C53" s="22"/>
      <c r="D53" s="23" t="s">
        <v>33</v>
      </c>
      <c r="E53" s="47">
        <f t="shared" si="6"/>
        <v>270937.5</v>
      </c>
      <c r="F53" s="47">
        <f t="shared" si="7"/>
        <v>1083750</v>
      </c>
      <c r="G53" s="48">
        <v>3.0</v>
      </c>
      <c r="H53" s="35">
        <f>(H47-H50)/2</f>
        <v>3825</v>
      </c>
      <c r="I53" s="25"/>
      <c r="K53" s="17"/>
      <c r="L53" s="17"/>
      <c r="M53" s="17"/>
      <c r="N53" s="17"/>
      <c r="O53" s="17"/>
      <c r="P53" s="17"/>
      <c r="Q53" s="17"/>
    </row>
    <row r="54" ht="15.75" customHeight="1">
      <c r="A54" s="42" t="s">
        <v>35</v>
      </c>
      <c r="B54" s="42"/>
      <c r="C54" s="42"/>
      <c r="D54" s="42"/>
      <c r="E54" s="49">
        <f t="shared" si="6"/>
        <v>433.5</v>
      </c>
      <c r="F54" s="50">
        <f>sum(F50:F53)/1000</f>
        <v>1734</v>
      </c>
      <c r="G54" s="51"/>
      <c r="H54" s="52">
        <f>sum(H50:H53)</f>
        <v>15690</v>
      </c>
      <c r="I54" s="53" t="s">
        <v>36</v>
      </c>
      <c r="K54" s="17"/>
      <c r="L54" s="17"/>
      <c r="M54" s="17"/>
      <c r="N54" s="17"/>
      <c r="O54" s="17"/>
      <c r="P54" s="17"/>
      <c r="Q54" s="17"/>
    </row>
    <row r="55" ht="15.75" customHeight="1">
      <c r="A55" s="45" t="s">
        <v>5</v>
      </c>
      <c r="B55" s="42"/>
      <c r="C55" s="42"/>
      <c r="D55" s="42"/>
      <c r="E55" s="54"/>
      <c r="F55" s="55"/>
      <c r="G55" s="51"/>
      <c r="H55" s="56"/>
      <c r="I55" s="24"/>
      <c r="K55" s="17"/>
      <c r="L55" s="17"/>
      <c r="M55" s="17"/>
      <c r="N55" s="17"/>
      <c r="O55" s="17"/>
      <c r="P55" s="17"/>
      <c r="Q55" s="17"/>
    </row>
    <row r="56" ht="15.75" customHeight="1"/>
    <row r="57" ht="15.75" customHeight="1">
      <c r="A57" s="57" t="s">
        <v>37</v>
      </c>
      <c r="B57" s="58"/>
      <c r="C57" s="58"/>
      <c r="D57" s="58"/>
      <c r="E57" s="58"/>
      <c r="F57" s="58"/>
      <c r="G57" s="58"/>
      <c r="H57" s="59">
        <f>H2+H54</f>
        <v>110690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38"/>
  </cols>
  <sheetData>
    <row r="1">
      <c r="A1" s="66" t="s">
        <v>41</v>
      </c>
      <c r="B1" s="67" t="s">
        <v>42</v>
      </c>
      <c r="C1" s="68">
        <v>96.0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64"/>
      <c r="B3" s="4" t="s">
        <v>43</v>
      </c>
      <c r="C3" s="69" t="s">
        <v>44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9" t="s">
        <v>45</v>
      </c>
      <c r="B4" s="65">
        <v>1224.0</v>
      </c>
      <c r="C4" s="70">
        <f>B4/C1</f>
        <v>12.75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9" t="s">
        <v>46</v>
      </c>
      <c r="B5" s="71">
        <v>1368.0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4" t="s">
        <v>47</v>
      </c>
      <c r="B6" s="72">
        <f>B5/2</f>
        <v>684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73" t="s">
        <v>48</v>
      </c>
      <c r="B8" s="73" t="s">
        <v>49</v>
      </c>
      <c r="C8" s="74" t="s">
        <v>50</v>
      </c>
      <c r="D8" s="75" t="s">
        <v>51</v>
      </c>
      <c r="E8" s="75" t="s">
        <v>52</v>
      </c>
      <c r="F8" s="75" t="s">
        <v>53</v>
      </c>
      <c r="G8" s="74" t="s">
        <v>54</v>
      </c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76" t="s">
        <v>15</v>
      </c>
      <c r="B9" s="76">
        <v>1.5</v>
      </c>
      <c r="C9" s="76">
        <v>35.0</v>
      </c>
      <c r="D9" s="72">
        <f>MROUND(C9*0.8,5)</f>
        <v>30</v>
      </c>
      <c r="E9" s="65">
        <v>35.0</v>
      </c>
      <c r="F9" s="72">
        <f t="shared" ref="F9:F10" si="1">D9*E9*B9</f>
        <v>1575</v>
      </c>
      <c r="G9" s="64">
        <f>B13/2</f>
        <v>15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4" t="s">
        <v>17</v>
      </c>
      <c r="B10" s="72">
        <v>1.5</v>
      </c>
      <c r="C10" s="65">
        <v>35.0</v>
      </c>
      <c r="D10" s="72">
        <f>MROUND(C10*0.7,5)</f>
        <v>25</v>
      </c>
      <c r="E10" s="65">
        <v>46.0</v>
      </c>
      <c r="F10" s="70">
        <f t="shared" si="1"/>
        <v>1725</v>
      </c>
      <c r="G10" s="64">
        <f>B13/2</f>
        <v>15</v>
      </c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74" t="s">
        <v>55</v>
      </c>
      <c r="B12" s="77">
        <v>0.0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74" t="s">
        <v>56</v>
      </c>
      <c r="B13" s="77">
        <v>30.0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78" t="s">
        <v>57</v>
      </c>
      <c r="B14" s="79">
        <f>SUM(B12:B13)</f>
        <v>30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80" t="s">
        <v>58</v>
      </c>
      <c r="B16" s="81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4" t="s">
        <v>59</v>
      </c>
      <c r="B17" s="82">
        <f>B4</f>
        <v>1224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76" t="s">
        <v>60</v>
      </c>
      <c r="B18" s="82">
        <f>B5*B14</f>
        <v>41040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76" t="s">
        <v>61</v>
      </c>
      <c r="B19" s="82">
        <f t="shared" ref="B19:B20" si="2">F9*G9</f>
        <v>23625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76" t="s">
        <v>62</v>
      </c>
      <c r="B20" s="83">
        <f t="shared" si="2"/>
        <v>25875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84" t="s">
        <v>63</v>
      </c>
      <c r="B21" s="85">
        <f>SUM(B17:B20)</f>
        <v>91764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4" t="s">
        <v>64</v>
      </c>
      <c r="B22" s="86">
        <f>(B17+B18)/B21</f>
        <v>0.4605727736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87" t="s">
        <v>1</v>
      </c>
      <c r="I1" s="76" t="s">
        <v>2</v>
      </c>
      <c r="J1" s="5"/>
      <c r="K1" s="5"/>
      <c r="L1" s="5"/>
    </row>
    <row r="2" ht="15.75" customHeight="1">
      <c r="A2" s="1" t="s">
        <v>3</v>
      </c>
      <c r="B2" s="2"/>
      <c r="C2" s="2"/>
      <c r="D2" s="2"/>
      <c r="E2" s="2"/>
      <c r="F2" s="2"/>
      <c r="G2" s="2"/>
      <c r="H2" s="1">
        <v>0.0</v>
      </c>
      <c r="I2" s="5">
        <f>H2*11</f>
        <v>0</v>
      </c>
      <c r="J2" s="5"/>
      <c r="K2" s="5"/>
      <c r="L2" s="5"/>
    </row>
    <row r="3" ht="15.75" customHeight="1">
      <c r="A3" s="7"/>
      <c r="B3" s="5"/>
      <c r="C3" s="5"/>
      <c r="D3" s="5"/>
      <c r="E3" s="5"/>
      <c r="F3" s="5"/>
      <c r="G3" s="8"/>
      <c r="H3" s="5"/>
      <c r="I3" s="5"/>
      <c r="J3" s="5"/>
      <c r="K3" s="5"/>
      <c r="L3" s="5"/>
    </row>
    <row r="4" ht="15.75" customHeight="1">
      <c r="A4" s="9" t="s">
        <v>4</v>
      </c>
      <c r="B4" s="10"/>
      <c r="C4" s="10"/>
      <c r="D4" s="10"/>
      <c r="E4" s="10"/>
      <c r="F4" s="10"/>
      <c r="G4" s="10"/>
      <c r="H4" s="9"/>
      <c r="I4" s="23">
        <f>H2*0.3</f>
        <v>0</v>
      </c>
    </row>
    <row r="5" ht="15.75" customHeight="1">
      <c r="A5" s="12" t="s">
        <v>5</v>
      </c>
      <c r="B5" s="10"/>
      <c r="C5" s="10"/>
      <c r="D5" s="10"/>
      <c r="E5" s="10"/>
      <c r="F5" s="10"/>
      <c r="G5" s="10"/>
      <c r="H5" s="13" t="str">
        <f>H4/H2</f>
        <v>#DIV/0!</v>
      </c>
    </row>
    <row r="6" ht="15.75" customHeight="1">
      <c r="H6" s="14"/>
    </row>
    <row r="7" ht="15.75" customHeight="1">
      <c r="A7" s="42" t="s">
        <v>65</v>
      </c>
      <c r="B7" s="42"/>
      <c r="C7" s="42"/>
      <c r="D7" s="42"/>
      <c r="E7" s="42"/>
      <c r="F7" s="42"/>
      <c r="G7" s="42"/>
      <c r="H7" s="42">
        <f>H2*0.15</f>
        <v>0</v>
      </c>
    </row>
    <row r="8" ht="15.75" customHeight="1">
      <c r="A8" s="41" t="s">
        <v>5</v>
      </c>
      <c r="B8" s="42"/>
      <c r="C8" s="42"/>
      <c r="D8" s="42"/>
      <c r="E8" s="42"/>
      <c r="F8" s="42"/>
      <c r="G8" s="42"/>
      <c r="H8" s="43" t="str">
        <f>H7/H2</f>
        <v>#DIV/0!</v>
      </c>
    </row>
    <row r="9" ht="15.75" customHeight="1">
      <c r="A9" s="42"/>
      <c r="B9" s="45" t="s">
        <v>38</v>
      </c>
      <c r="C9" s="45" t="s">
        <v>39</v>
      </c>
      <c r="D9" s="45" t="s">
        <v>28</v>
      </c>
      <c r="E9" s="45" t="s">
        <v>21</v>
      </c>
      <c r="F9" s="45" t="s">
        <v>22</v>
      </c>
      <c r="G9" s="45" t="s">
        <v>29</v>
      </c>
      <c r="H9" s="42"/>
      <c r="K9" s="17"/>
      <c r="L9" s="17"/>
      <c r="M9" s="17"/>
      <c r="N9" s="17"/>
      <c r="O9" s="17"/>
      <c r="P9" s="17"/>
      <c r="Q9" s="17"/>
    </row>
    <row r="10" ht="15.75" customHeight="1">
      <c r="A10" s="23" t="s">
        <v>40</v>
      </c>
      <c r="B10" s="23">
        <v>0.0</v>
      </c>
      <c r="C10" s="23">
        <v>2000.0</v>
      </c>
      <c r="D10" s="22"/>
      <c r="E10" s="22"/>
      <c r="F10" s="22"/>
      <c r="G10" s="22"/>
      <c r="H10" s="22">
        <f>B10*C10</f>
        <v>0</v>
      </c>
      <c r="K10" s="17"/>
      <c r="L10" s="17"/>
      <c r="M10" s="17"/>
      <c r="N10" s="17"/>
      <c r="O10" s="17"/>
      <c r="P10" s="17"/>
      <c r="Q10" s="17"/>
    </row>
    <row r="11" ht="15.75" customHeight="1">
      <c r="A11" s="23" t="s">
        <v>32</v>
      </c>
      <c r="B11" s="22"/>
      <c r="C11" s="22"/>
      <c r="D11" s="23" t="s">
        <v>33</v>
      </c>
      <c r="E11" s="47">
        <f t="shared" ref="E11:E13" si="1">F11*0.25</f>
        <v>0</v>
      </c>
      <c r="F11" s="47">
        <f t="shared" ref="F11:F12" si="2">sum(1000*H11)/G11*0.85</f>
        <v>0</v>
      </c>
      <c r="G11" s="88">
        <v>20.0</v>
      </c>
      <c r="H11" s="35">
        <f>H7-H10</f>
        <v>0</v>
      </c>
      <c r="K11" s="17"/>
      <c r="L11" s="17"/>
      <c r="M11" s="17"/>
      <c r="N11" s="17"/>
      <c r="O11" s="17"/>
      <c r="P11" s="17"/>
      <c r="Q11" s="17"/>
    </row>
    <row r="12" ht="15.75" customHeight="1">
      <c r="A12" s="23" t="s">
        <v>34</v>
      </c>
      <c r="B12" s="22"/>
      <c r="C12" s="22"/>
      <c r="D12" s="23" t="s">
        <v>33</v>
      </c>
      <c r="E12" s="47">
        <f t="shared" si="1"/>
        <v>0</v>
      </c>
      <c r="F12" s="47">
        <f t="shared" si="2"/>
        <v>0</v>
      </c>
      <c r="G12" s="88">
        <v>15.0</v>
      </c>
      <c r="H12" s="35">
        <v>0.0</v>
      </c>
      <c r="I12" s="25"/>
      <c r="K12" s="17"/>
      <c r="L12" s="17"/>
      <c r="M12" s="17"/>
      <c r="N12" s="17"/>
      <c r="O12" s="17"/>
      <c r="P12" s="17"/>
      <c r="Q12" s="17"/>
    </row>
    <row r="13" ht="15.75" customHeight="1">
      <c r="A13" s="42" t="s">
        <v>35</v>
      </c>
      <c r="B13" s="42"/>
      <c r="C13" s="42"/>
      <c r="D13" s="42"/>
      <c r="E13" s="49">
        <f t="shared" si="1"/>
        <v>0</v>
      </c>
      <c r="F13" s="50">
        <f>sum(F10:F12)/1000</f>
        <v>0</v>
      </c>
      <c r="G13" s="51"/>
      <c r="H13" s="52">
        <f>sum(H10:H12)</f>
        <v>0</v>
      </c>
      <c r="I13" s="24"/>
      <c r="K13" s="17"/>
      <c r="L13" s="17"/>
      <c r="M13" s="17"/>
      <c r="N13" s="17"/>
      <c r="O13" s="17"/>
      <c r="P13" s="17"/>
      <c r="Q13" s="17"/>
    </row>
    <row r="14" ht="15.75" customHeight="1">
      <c r="A14" s="45" t="s">
        <v>5</v>
      </c>
      <c r="B14" s="42"/>
      <c r="C14" s="42"/>
      <c r="D14" s="42"/>
      <c r="E14" s="54"/>
      <c r="F14" s="55"/>
      <c r="G14" s="51"/>
      <c r="H14" s="56" t="str">
        <f>H13/H2</f>
        <v>#DIV/0!</v>
      </c>
      <c r="I14" s="24"/>
      <c r="K14" s="17"/>
      <c r="L14" s="17"/>
      <c r="M14" s="17"/>
      <c r="N14" s="17"/>
      <c r="O14" s="17"/>
      <c r="P14" s="17"/>
      <c r="Q14" s="17"/>
    </row>
    <row r="15" ht="15.75" customHeight="1">
      <c r="I15" s="17"/>
      <c r="K15" s="17"/>
      <c r="L15" s="17"/>
      <c r="M15" s="17"/>
      <c r="N15" s="17"/>
      <c r="O15" s="17"/>
      <c r="P15" s="17"/>
      <c r="Q15" s="17"/>
    </row>
    <row r="16" ht="15.75" customHeight="1">
      <c r="A16" s="15" t="s">
        <v>6</v>
      </c>
      <c r="B16" s="15"/>
      <c r="C16" s="15"/>
      <c r="D16" s="15"/>
      <c r="E16" s="15"/>
      <c r="F16" s="15"/>
      <c r="G16" s="15"/>
      <c r="H16" s="15"/>
      <c r="I16" s="16"/>
      <c r="K16" s="17"/>
      <c r="L16" s="17"/>
      <c r="M16" s="17"/>
      <c r="N16" s="17"/>
      <c r="O16" s="17"/>
      <c r="P16" s="17"/>
      <c r="Q16" s="17"/>
    </row>
    <row r="17" ht="15.75" customHeight="1">
      <c r="A17" s="18" t="s">
        <v>7</v>
      </c>
      <c r="B17" s="18" t="s">
        <v>8</v>
      </c>
      <c r="C17" s="18" t="s">
        <v>9</v>
      </c>
      <c r="D17" s="18" t="s">
        <v>10</v>
      </c>
      <c r="E17" s="18" t="s">
        <v>21</v>
      </c>
      <c r="F17" s="18" t="s">
        <v>12</v>
      </c>
      <c r="G17" s="18" t="s">
        <v>13</v>
      </c>
      <c r="H17" s="18" t="s">
        <v>14</v>
      </c>
      <c r="I17" s="16"/>
      <c r="K17" s="17"/>
      <c r="L17" s="17"/>
      <c r="M17" s="17"/>
      <c r="N17" s="17"/>
      <c r="O17" s="17"/>
      <c r="P17" s="17"/>
      <c r="Q17" s="17"/>
    </row>
    <row r="18" ht="15.75" customHeight="1">
      <c r="A18" s="23" t="s">
        <v>17</v>
      </c>
      <c r="B18" s="23"/>
      <c r="C18" s="23">
        <v>2.0</v>
      </c>
      <c r="D18" s="17" t="s">
        <v>66</v>
      </c>
      <c r="E18" s="22">
        <f t="shared" ref="E18:E21" si="3">F18*0.6</f>
        <v>0</v>
      </c>
      <c r="F18" s="23">
        <f t="shared" ref="F18:F21" si="4">MROUND(B18*0.7,5)</f>
        <v>0</v>
      </c>
      <c r="G18" s="23">
        <v>570.0</v>
      </c>
      <c r="H18" s="22">
        <f t="shared" ref="H18:H21" si="5">F18*G18*C18</f>
        <v>0</v>
      </c>
      <c r="K18" s="17"/>
      <c r="L18" s="24"/>
      <c r="M18" s="24"/>
      <c r="N18" s="8"/>
      <c r="O18" s="25"/>
      <c r="P18" s="24"/>
      <c r="Q18" s="17"/>
    </row>
    <row r="19" ht="15.75" customHeight="1">
      <c r="A19" s="23" t="s">
        <v>17</v>
      </c>
      <c r="B19" s="23"/>
      <c r="C19" s="23">
        <v>2.0</v>
      </c>
      <c r="D19" s="17" t="s">
        <v>66</v>
      </c>
      <c r="E19" s="22">
        <f t="shared" si="3"/>
        <v>0</v>
      </c>
      <c r="F19" s="23">
        <f t="shared" si="4"/>
        <v>0</v>
      </c>
      <c r="G19" s="23">
        <v>570.0</v>
      </c>
      <c r="H19" s="22">
        <f t="shared" si="5"/>
        <v>0</v>
      </c>
      <c r="K19" s="17"/>
      <c r="L19" s="89"/>
      <c r="M19" s="89"/>
      <c r="N19" s="88"/>
      <c r="O19" s="25"/>
      <c r="P19" s="25"/>
      <c r="Q19" s="17"/>
    </row>
    <row r="20" ht="15.75" customHeight="1">
      <c r="A20" s="23" t="s">
        <v>17</v>
      </c>
      <c r="B20" s="23"/>
      <c r="C20" s="23">
        <v>2.0</v>
      </c>
      <c r="D20" s="17" t="s">
        <v>66</v>
      </c>
      <c r="E20" s="22">
        <f t="shared" si="3"/>
        <v>0</v>
      </c>
      <c r="F20" s="23">
        <f t="shared" si="4"/>
        <v>0</v>
      </c>
      <c r="G20" s="23">
        <v>570.0</v>
      </c>
      <c r="H20" s="22">
        <f t="shared" si="5"/>
        <v>0</v>
      </c>
      <c r="K20" s="17"/>
      <c r="L20" s="89"/>
      <c r="M20" s="89"/>
      <c r="N20" s="88"/>
      <c r="O20" s="25"/>
      <c r="P20" s="25"/>
      <c r="Q20" s="17"/>
    </row>
    <row r="21" ht="15.75" customHeight="1">
      <c r="A21" s="23" t="s">
        <v>17</v>
      </c>
      <c r="B21" s="23"/>
      <c r="C21" s="23">
        <v>2.0</v>
      </c>
      <c r="D21" s="17" t="s">
        <v>66</v>
      </c>
      <c r="E21" s="22">
        <f t="shared" si="3"/>
        <v>0</v>
      </c>
      <c r="F21" s="23">
        <f t="shared" si="4"/>
        <v>0</v>
      </c>
      <c r="G21" s="23">
        <v>570.0</v>
      </c>
      <c r="H21" s="22">
        <f t="shared" si="5"/>
        <v>0</v>
      </c>
      <c r="K21" s="17"/>
      <c r="L21" s="90"/>
      <c r="M21" s="89"/>
      <c r="N21" s="8"/>
      <c r="O21" s="25"/>
      <c r="P21" s="24"/>
      <c r="Q21" s="17"/>
    </row>
    <row r="22" ht="15.75" customHeight="1">
      <c r="A22" s="15" t="s">
        <v>35</v>
      </c>
      <c r="B22" s="15"/>
      <c r="C22" s="15">
        <f>AVERAGE(C18:C21)</f>
        <v>2</v>
      </c>
      <c r="D22" s="15"/>
      <c r="E22" s="15">
        <f>sum(E18:E21)</f>
        <v>0</v>
      </c>
      <c r="F22" s="15">
        <f>SUM(F18:F21)</f>
        <v>0</v>
      </c>
      <c r="G22" s="15"/>
      <c r="H22" s="15">
        <f>sum(H18:H21)</f>
        <v>0</v>
      </c>
      <c r="I22" s="26" t="s">
        <v>18</v>
      </c>
      <c r="J22" s="5"/>
      <c r="K22" s="24"/>
      <c r="L22" s="24"/>
      <c r="M22" s="17"/>
      <c r="N22" s="17"/>
      <c r="O22" s="17"/>
      <c r="P22" s="17"/>
      <c r="Q22" s="17"/>
    </row>
    <row r="23" ht="15.75" customHeight="1">
      <c r="F23" s="16">
        <f>F22*C22</f>
        <v>0</v>
      </c>
      <c r="H23" s="27">
        <f>I23*0.925</f>
        <v>0</v>
      </c>
      <c r="I23" s="28">
        <f>H2-H4-H7</f>
        <v>0</v>
      </c>
      <c r="J23" s="5"/>
      <c r="K23" s="24"/>
      <c r="L23" s="24"/>
      <c r="M23" s="17"/>
      <c r="N23" s="17"/>
      <c r="O23" s="17"/>
      <c r="P23" s="17"/>
      <c r="Q23" s="17"/>
    </row>
    <row r="24" ht="15.75" customHeight="1">
      <c r="G24" s="91" t="s">
        <v>67</v>
      </c>
      <c r="H24" s="92">
        <f>H23-H22</f>
        <v>0</v>
      </c>
      <c r="J24" s="5"/>
      <c r="K24" s="5"/>
      <c r="L24" s="5"/>
    </row>
    <row r="25" ht="15.75" customHeight="1">
      <c r="A25" s="30" t="s">
        <v>20</v>
      </c>
      <c r="B25" s="30"/>
      <c r="C25" s="30"/>
      <c r="D25" s="30"/>
      <c r="E25" s="30"/>
      <c r="F25" s="31"/>
      <c r="G25" s="31"/>
      <c r="H25" s="32"/>
      <c r="J25" s="5"/>
      <c r="K25" s="5"/>
      <c r="L25" s="5"/>
    </row>
    <row r="26" ht="15.75" customHeight="1">
      <c r="A26" s="30"/>
      <c r="B26" s="30"/>
      <c r="C26" s="30"/>
      <c r="D26" s="30"/>
      <c r="E26" s="31" t="s">
        <v>21</v>
      </c>
      <c r="F26" s="31" t="s">
        <v>22</v>
      </c>
      <c r="G26" s="31" t="s">
        <v>23</v>
      </c>
      <c r="H26" s="32"/>
      <c r="J26" s="5"/>
      <c r="K26" s="5"/>
      <c r="L26" s="5"/>
    </row>
    <row r="27" ht="15.75" customHeight="1">
      <c r="A27" s="30"/>
      <c r="B27" s="30"/>
      <c r="C27" s="30"/>
      <c r="D27" s="30"/>
      <c r="E27" s="30">
        <f t="shared" ref="E27:F27" si="6">(E13+E22)*1000</f>
        <v>0</v>
      </c>
      <c r="F27" s="33">
        <f t="shared" si="6"/>
        <v>0</v>
      </c>
      <c r="G27" s="33" t="str">
        <f>(H2/F27)*1000</f>
        <v>#DIV/0!</v>
      </c>
      <c r="H27" s="32"/>
      <c r="J27" s="5"/>
      <c r="K27" s="5"/>
      <c r="L27" s="5"/>
    </row>
    <row r="28" ht="15.75" customHeight="1">
      <c r="A28" s="7"/>
      <c r="B28" s="5"/>
      <c r="C28" s="5"/>
      <c r="D28" s="5"/>
      <c r="E28" s="5"/>
      <c r="F28" s="93">
        <f>(F13+F23)*1000</f>
        <v>0</v>
      </c>
      <c r="G28" s="34"/>
      <c r="H28" s="35"/>
      <c r="I28" s="5"/>
      <c r="J28" s="5"/>
      <c r="K28" s="5"/>
      <c r="L28" s="5"/>
    </row>
    <row r="29" ht="15.75" customHeight="1">
      <c r="A29" s="5"/>
      <c r="B29" s="36"/>
      <c r="C29" s="36"/>
      <c r="D29" s="36"/>
      <c r="E29" s="5"/>
      <c r="F29" s="5"/>
      <c r="G29" s="5"/>
      <c r="H29" s="5"/>
      <c r="I29" s="5"/>
      <c r="J29" s="5"/>
      <c r="K29" s="5"/>
      <c r="L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5.75" customHeight="1">
      <c r="A33" s="7"/>
      <c r="B33" s="5"/>
      <c r="C33" s="5"/>
      <c r="D33" s="5"/>
      <c r="E33" s="7"/>
      <c r="F33" s="7"/>
      <c r="G33" s="7"/>
      <c r="H33" s="5"/>
      <c r="I33" s="5"/>
      <c r="J33" s="5"/>
      <c r="K33" s="5"/>
      <c r="L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5.75" customHeight="1">
      <c r="A36" s="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5.75" customHeight="1">
      <c r="A37" s="7"/>
      <c r="B37" s="35"/>
      <c r="C37" s="35"/>
      <c r="D37" s="35"/>
      <c r="E37" s="5"/>
      <c r="F37" s="5"/>
      <c r="G37" s="5"/>
      <c r="H37" s="5"/>
      <c r="I37" s="5"/>
      <c r="J37" s="5"/>
      <c r="K37" s="5"/>
      <c r="L37" s="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