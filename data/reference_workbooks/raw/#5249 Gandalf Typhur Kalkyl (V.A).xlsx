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x3 Kalkylmall Org." sheetId="1" r:id="rId4"/>
    <sheet state="visible" name="6x2 Kalkylmall Org." sheetId="2" r:id="rId5"/>
    <sheet state="visible" name="ME 6x2 Kalkylmall Org." sheetId="3" r:id="rId6"/>
    <sheet state="visible" name="8x2 Kalkylmall Org." sheetId="4" r:id="rId7"/>
  </sheets>
  <definedNames/>
  <calcPr/>
  <extLst>
    <ext uri="GoogleSheetsCustomDataVersion2">
      <go:sheetsCustomData xmlns:go="http://customooxmlschemas.google.com/" r:id="rId8" roundtripDataChecksum="gZMARixn7F60rqsKYHlGmDQNCnoNgdFYRi+/BoXkQ7s="/>
    </ext>
  </extLst>
</workbook>
</file>

<file path=xl/sharedStrings.xml><?xml version="1.0" encoding="utf-8"?>
<sst xmlns="http://schemas.openxmlformats.org/spreadsheetml/2006/main" count="177" uniqueCount="30">
  <si>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</si>
  <si>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</si>
  <si>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</si>
  <si>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</si>
  <si>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</si>
  <si>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</si>
  <si>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</si>
  <si>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</si>
  <si>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</si>
  <si>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</si>
  <si>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</si>
  <si>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</si>
  <si>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</si>
  <si>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</si>
  <si>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Instagram</t>
  </si>
  <si>
    <t>7-30 days</t>
  </si>
  <si>
    <t>Swe</t>
  </si>
  <si>
    <t>Tiktok</t>
  </si>
  <si>
    <t>TikTok</t>
  </si>
  <si>
    <t>No</t>
  </si>
  <si>
    <t>CPM: Norway</t>
  </si>
  <si>
    <t>Total</t>
  </si>
  <si>
    <t>inkl 7,5%</t>
  </si>
  <si>
    <t>TOTAL CAMPAIGN</t>
  </si>
  <si>
    <t>Reach</t>
  </si>
  <si>
    <t>Impressions</t>
  </si>
  <si>
    <t>CPM</t>
  </si>
  <si>
    <t xml:space="preserve"> </t>
  </si>
  <si>
    <t>7-15K</t>
  </si>
  <si>
    <t>8-12K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</si>
</sst>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#&quot;x video&quot;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rgb="FFFF0000"/>
      <name val="Arial"/>
      <scheme val="minor"/>
    </font>
    <font>
      <i/>
      <color theme="1"/>
      <name val="Arial"/>
    </font>
    <font>
      <color theme="1"/>
      <name val="Arial"/>
      <scheme val="minor"/>
    </font>
    <font>
      <b/>
      <color rgb="FF666666"/>
      <name val="Arial"/>
    </font>
    <font>
      <color rgb="FF666666"/>
      <name val="Arial"/>
      <scheme val="minor"/>
    </font>
    <font>
      <color rgb="FF666666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Font="1"/>
    <xf borderId="0" fillId="4" fontId="5" numFmtId="10" xfId="0" applyFont="1" applyNumberFormat="1"/>
    <xf borderId="0" fillId="0" fontId="4" numFmtId="10" xfId="0" applyFont="1" applyNumberFormat="1"/>
    <xf borderId="0" fillId="0" fontId="5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5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6" fontId="2" numFmtId="0" xfId="0" applyFill="1" applyFont="1"/>
    <xf borderId="0" fillId="0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7" fontId="7" numFmtId="0" xfId="0" applyAlignment="1" applyFill="1" applyFont="1">
      <alignment horizontal="center" readingOrder="0" vertical="bottom"/>
    </xf>
    <xf borderId="0" fillId="3" fontId="2" numFmtId="1" xfId="0" applyAlignment="1" applyFont="1" applyNumberFormat="1">
      <alignment vertical="bottom"/>
    </xf>
    <xf borderId="0" fillId="7" fontId="8" numFmtId="0" xfId="0" applyFont="1"/>
    <xf borderId="0" fillId="7" fontId="9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6" numFmtId="0" xfId="0" applyFont="1"/>
    <xf borderId="0" fillId="0" fontId="10" numFmtId="0" xfId="0" applyFont="1"/>
    <xf borderId="0" fillId="0" fontId="11" numFmtId="0" xfId="0" applyFont="1"/>
    <xf borderId="0" fillId="8" fontId="1" numFmtId="0" xfId="0" applyFill="1" applyFont="1"/>
    <xf borderId="0" fillId="8" fontId="5" numFmtId="0" xfId="0" applyFont="1"/>
    <xf borderId="0" fillId="8" fontId="2" numFmtId="0" xfId="0" applyFont="1"/>
    <xf borderId="0" fillId="8" fontId="12" numFmtId="0" xfId="0" applyFont="1"/>
    <xf borderId="0" fillId="8" fontId="12" numFmtId="1" xfId="0" applyFont="1" applyNumberForma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/>
    </xf>
    <xf borderId="0" fillId="6" fontId="2" numFmtId="1" xfId="0" applyFont="1" applyNumberFormat="1"/>
    <xf borderId="0" fillId="5" fontId="1" numFmtId="1" xfId="0" applyFont="1" applyNumberFormat="1"/>
    <xf borderId="0" fillId="0" fontId="10" numFmtId="1" xfId="0" applyFont="1" applyNumberFormat="1"/>
  </cellXfs>
  <cellStyles count="1">
    <cellStyle xfId="0" name="Normal" builtinId="0"/>
  </cellStyles>
  <dxfs count="2">
    <dxf>
      <font>
        <color rgb="FF274E13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  <c r="K1" s="5"/>
      <c r="L1" s="5"/>
    </row>
    <row r="2" ht="15.75" customHeight="1">
      <c r="A2" s="1" t="s">
        <v>2</v>
      </c>
      <c r="B2" s="2"/>
      <c r="C2" s="2"/>
      <c r="D2" s="2"/>
      <c r="E2" s="2"/>
      <c r="F2" s="2"/>
      <c r="G2" s="2"/>
      <c r="H2" s="6">
        <v>145000.0</v>
      </c>
      <c r="I2" s="7"/>
      <c r="J2" s="5"/>
      <c r="K2" s="5"/>
      <c r="L2" s="5"/>
    </row>
    <row r="3" ht="15.75" customHeight="1">
      <c r="A3" s="8"/>
      <c r="B3" s="5"/>
      <c r="C3" s="5"/>
      <c r="D3" s="5"/>
      <c r="E3" s="5"/>
      <c r="F3" s="5"/>
      <c r="G3" s="9"/>
      <c r="H3" s="5"/>
      <c r="I3" s="7"/>
      <c r="J3" s="5"/>
      <c r="K3" s="5"/>
      <c r="L3" s="5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85902.0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0.5924275862</v>
      </c>
      <c r="I5" s="16"/>
    </row>
    <row r="6" ht="15.75" customHeight="1">
      <c r="H6" s="17"/>
    </row>
    <row r="7" ht="15.75" customHeight="1">
      <c r="A7" s="18" t="s">
        <v>5</v>
      </c>
      <c r="B7" s="18"/>
      <c r="C7" s="18"/>
      <c r="D7" s="18"/>
      <c r="E7" s="18"/>
      <c r="F7" s="18"/>
      <c r="G7" s="18"/>
      <c r="H7" s="18"/>
      <c r="I7" s="19"/>
      <c r="K7" s="20"/>
      <c r="L7" s="20"/>
      <c r="M7" s="20"/>
      <c r="N7" s="20"/>
      <c r="O7" s="20"/>
      <c r="P7" s="20"/>
      <c r="Q7" s="20"/>
    </row>
    <row r="8" ht="15.75" customHeight="1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19"/>
      <c r="K8" s="20"/>
      <c r="L8" s="20"/>
      <c r="M8" s="20"/>
      <c r="N8" s="20"/>
      <c r="O8" s="20"/>
      <c r="P8" s="20"/>
      <c r="Q8" s="20"/>
    </row>
    <row r="9" ht="21.0" customHeight="1">
      <c r="A9" s="22" t="s">
        <v>14</v>
      </c>
      <c r="B9" s="23">
        <v>7.0</v>
      </c>
      <c r="C9" s="24">
        <v>3.0</v>
      </c>
      <c r="D9" s="25" t="s">
        <v>15</v>
      </c>
      <c r="E9" s="26">
        <f t="shared" ref="E9:E14" si="1">F9*0.6</f>
        <v>9</v>
      </c>
      <c r="F9" s="23">
        <f>ROUNDUP((B9*0.7)*C9,0)</f>
        <v>15</v>
      </c>
      <c r="G9" s="22">
        <v>575.0</v>
      </c>
      <c r="H9" s="26">
        <f t="shared" ref="H9:H14" si="2">F9*G9</f>
        <v>8625</v>
      </c>
      <c r="I9" s="27" t="s">
        <v>16</v>
      </c>
      <c r="K9" s="20"/>
      <c r="L9" s="28"/>
      <c r="M9" s="28"/>
      <c r="N9" s="9"/>
      <c r="O9" s="29"/>
      <c r="P9" s="28"/>
      <c r="Q9" s="20"/>
    </row>
    <row r="10" ht="15.75" customHeight="1">
      <c r="A10" s="22" t="s">
        <v>17</v>
      </c>
      <c r="B10" s="23">
        <v>7.0</v>
      </c>
      <c r="C10" s="24">
        <v>3.0</v>
      </c>
      <c r="D10" s="25" t="s">
        <v>15</v>
      </c>
      <c r="E10" s="26">
        <f t="shared" si="1"/>
        <v>9</v>
      </c>
      <c r="F10" s="23">
        <v>15.0</v>
      </c>
      <c r="G10" s="22">
        <v>575.0</v>
      </c>
      <c r="H10" s="26">
        <f t="shared" si="2"/>
        <v>8625</v>
      </c>
      <c r="I10" s="27" t="s">
        <v>16</v>
      </c>
      <c r="L10" s="30"/>
      <c r="M10" s="30"/>
      <c r="N10" s="31"/>
      <c r="O10" s="29"/>
      <c r="P10" s="29"/>
      <c r="Q10" s="20"/>
    </row>
    <row r="11" ht="15.75" customHeight="1">
      <c r="A11" s="22" t="s">
        <v>18</v>
      </c>
      <c r="B11" s="23">
        <v>7.0</v>
      </c>
      <c r="C11" s="24">
        <v>3.0</v>
      </c>
      <c r="D11" s="25" t="s">
        <v>15</v>
      </c>
      <c r="E11" s="26">
        <f t="shared" si="1"/>
        <v>9</v>
      </c>
      <c r="F11" s="23">
        <v>15.0</v>
      </c>
      <c r="G11" s="22">
        <v>430.0</v>
      </c>
      <c r="H11" s="26">
        <f t="shared" si="2"/>
        <v>6450</v>
      </c>
      <c r="I11" s="27" t="s">
        <v>16</v>
      </c>
      <c r="L11" s="30"/>
      <c r="M11" s="30"/>
      <c r="N11" s="31"/>
      <c r="O11" s="29"/>
      <c r="P11" s="29"/>
      <c r="Q11" s="20"/>
    </row>
    <row r="12" ht="15.75" customHeight="1">
      <c r="A12" s="22" t="s">
        <v>14</v>
      </c>
      <c r="B12" s="23">
        <v>7.0</v>
      </c>
      <c r="C12" s="24">
        <v>3.0</v>
      </c>
      <c r="D12" s="25" t="s">
        <v>15</v>
      </c>
      <c r="E12" s="26">
        <f t="shared" si="1"/>
        <v>9</v>
      </c>
      <c r="F12" s="23">
        <f>ROUNDUP((B12*0.7)*C12,0)</f>
        <v>15</v>
      </c>
      <c r="G12" s="23">
        <v>680.0</v>
      </c>
      <c r="H12" s="26">
        <f t="shared" si="2"/>
        <v>10200</v>
      </c>
      <c r="I12" s="27" t="s">
        <v>19</v>
      </c>
      <c r="J12" s="32" t="s">
        <v>20</v>
      </c>
      <c r="L12" s="33"/>
      <c r="M12" s="30"/>
      <c r="N12" s="9"/>
      <c r="O12" s="29"/>
      <c r="P12" s="28"/>
      <c r="Q12" s="20"/>
    </row>
    <row r="13" ht="15.75" customHeight="1">
      <c r="A13" s="22" t="s">
        <v>18</v>
      </c>
      <c r="B13" s="23">
        <v>7.0</v>
      </c>
      <c r="C13" s="24">
        <v>3.0</v>
      </c>
      <c r="D13" s="25" t="s">
        <v>15</v>
      </c>
      <c r="E13" s="26">
        <f t="shared" si="1"/>
        <v>9</v>
      </c>
      <c r="F13" s="23">
        <v>15.0</v>
      </c>
      <c r="G13" s="23">
        <v>680.0</v>
      </c>
      <c r="H13" s="26">
        <f t="shared" si="2"/>
        <v>10200</v>
      </c>
      <c r="I13" s="27" t="s">
        <v>19</v>
      </c>
      <c r="J13" s="34">
        <f>575*1.15*1.03</f>
        <v>681.0875</v>
      </c>
      <c r="K13" s="35" t="s">
        <v>14</v>
      </c>
      <c r="L13" s="29"/>
      <c r="M13" s="20"/>
      <c r="N13" s="20"/>
      <c r="O13" s="20"/>
      <c r="P13" s="20"/>
      <c r="Q13" s="20"/>
    </row>
    <row r="14" ht="15.75" customHeight="1">
      <c r="A14" s="22" t="s">
        <v>18</v>
      </c>
      <c r="B14" s="23">
        <v>7.0</v>
      </c>
      <c r="C14" s="24">
        <v>3.0</v>
      </c>
      <c r="D14" s="25" t="s">
        <v>15</v>
      </c>
      <c r="E14" s="26">
        <f t="shared" si="1"/>
        <v>9</v>
      </c>
      <c r="F14" s="23">
        <v>15.0</v>
      </c>
      <c r="G14" s="23">
        <v>510.0</v>
      </c>
      <c r="H14" s="26">
        <f t="shared" si="2"/>
        <v>7650</v>
      </c>
      <c r="I14" s="27" t="s">
        <v>19</v>
      </c>
      <c r="J14" s="34">
        <f>430*1.15*1.03</f>
        <v>509.335</v>
      </c>
      <c r="K14" s="35" t="s">
        <v>18</v>
      </c>
      <c r="L14" s="28"/>
      <c r="M14" s="20"/>
      <c r="N14" s="20"/>
      <c r="O14" s="20"/>
      <c r="P14" s="20"/>
      <c r="Q14" s="20"/>
    </row>
    <row r="15" ht="15.75" customHeight="1">
      <c r="A15" s="18" t="s">
        <v>21</v>
      </c>
      <c r="B15" s="18"/>
      <c r="C15" s="18"/>
      <c r="D15" s="18"/>
      <c r="E15" s="18">
        <f>sum(E9:E14)</f>
        <v>54</v>
      </c>
      <c r="F15" s="18">
        <f>SUM(F9:F14)</f>
        <v>90</v>
      </c>
      <c r="G15" s="18"/>
      <c r="H15" s="18">
        <f>sum(H9:H14)</f>
        <v>51750</v>
      </c>
      <c r="I15" s="36" t="s">
        <v>22</v>
      </c>
      <c r="J15" s="5"/>
      <c r="K15" s="28"/>
      <c r="L15" s="28"/>
      <c r="M15" s="20"/>
      <c r="N15" s="20"/>
      <c r="O15" s="20"/>
      <c r="P15" s="20"/>
      <c r="Q15" s="20"/>
    </row>
    <row r="16" ht="15.75" customHeight="1">
      <c r="A16" s="37">
        <f>COUNTA(A9:A14)</f>
        <v>6</v>
      </c>
      <c r="H16" s="38">
        <f>I16*0.925</f>
        <v>54665.65</v>
      </c>
      <c r="I16" s="39">
        <f>H2-H4</f>
        <v>59098</v>
      </c>
      <c r="J16" s="5"/>
      <c r="K16" s="28"/>
      <c r="L16" s="28"/>
      <c r="M16" s="20"/>
      <c r="N16" s="20"/>
      <c r="O16" s="20"/>
      <c r="P16" s="20"/>
      <c r="Q16" s="20"/>
    </row>
    <row r="17" ht="15.75" customHeight="1">
      <c r="H17" s="37" t="str">
        <f>"diff: "&amp;ROUNDUP(H16-H15,0)&amp;" kr"</f>
        <v>diff: 2916 kr</v>
      </c>
      <c r="J17" s="5"/>
      <c r="K17" s="5"/>
      <c r="L17" s="5"/>
    </row>
    <row r="18" ht="15.75" customHeight="1">
      <c r="A18" s="40" t="s">
        <v>23</v>
      </c>
      <c r="B18" s="40"/>
      <c r="C18" s="40"/>
      <c r="D18" s="40"/>
      <c r="E18" s="40"/>
      <c r="F18" s="41"/>
      <c r="G18" s="41"/>
      <c r="H18" s="42"/>
      <c r="J18" s="5"/>
      <c r="K18" s="5"/>
      <c r="L18" s="5"/>
    </row>
    <row r="19" ht="15.75" customHeight="1">
      <c r="A19" s="40"/>
      <c r="B19" s="40"/>
      <c r="C19" s="40"/>
      <c r="D19" s="40"/>
      <c r="E19" s="41" t="s">
        <v>24</v>
      </c>
      <c r="F19" s="41" t="s">
        <v>25</v>
      </c>
      <c r="G19" s="41" t="s">
        <v>26</v>
      </c>
      <c r="H19" s="42"/>
      <c r="J19" s="5"/>
      <c r="K19" s="5"/>
      <c r="L19" s="5"/>
    </row>
    <row r="20" ht="15.75" customHeight="1">
      <c r="A20" s="40"/>
      <c r="B20" s="40"/>
      <c r="C20" s="40"/>
      <c r="D20" s="40"/>
      <c r="E20" s="40">
        <f t="shared" ref="E20:F20" si="3">E15*1000</f>
        <v>54000</v>
      </c>
      <c r="F20" s="43">
        <f t="shared" si="3"/>
        <v>90000</v>
      </c>
      <c r="G20" s="44">
        <f>(H2/F20)*1000</f>
        <v>1611.111111</v>
      </c>
      <c r="H20" s="42"/>
      <c r="J20" s="5"/>
      <c r="K20" s="5"/>
      <c r="L20" s="5"/>
    </row>
    <row r="21" ht="15.75" customHeight="1">
      <c r="A21" s="8"/>
      <c r="B21" s="5"/>
      <c r="C21" s="5"/>
      <c r="D21" s="5"/>
      <c r="E21" s="5"/>
      <c r="F21" s="5"/>
      <c r="G21" s="45"/>
      <c r="H21" s="46"/>
      <c r="I21" s="5"/>
      <c r="J21" s="5"/>
      <c r="K21" s="5"/>
      <c r="L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8"/>
      <c r="B24" s="46"/>
      <c r="C24" s="46"/>
      <c r="D24" s="46"/>
      <c r="E24" s="5"/>
      <c r="F24" s="5"/>
      <c r="G24" s="5"/>
      <c r="H24" s="5"/>
      <c r="I24" s="5"/>
      <c r="J24" s="5"/>
      <c r="K24" s="5"/>
      <c r="L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C33" s="22" t="s">
        <v>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J12:K12"/>
  </mergeCells>
  <conditionalFormatting sqref="H17">
    <cfRule type="expression" dxfId="0" priority="1">
      <formula>H17&gt;0</formula>
    </cfRule>
  </conditionalFormatting>
  <conditionalFormatting sqref="H17">
    <cfRule type="expression" dxfId="1" priority="2">
      <formula>H17&lt;0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  <c r="K1" s="5"/>
      <c r="L1" s="5"/>
    </row>
    <row r="2" ht="15.75" customHeight="1">
      <c r="A2" s="1" t="s">
        <v>2</v>
      </c>
      <c r="B2" s="2"/>
      <c r="C2" s="2"/>
      <c r="D2" s="2"/>
      <c r="E2" s="2"/>
      <c r="F2" s="2"/>
      <c r="G2" s="2"/>
      <c r="H2" s="6">
        <v>145000.0</v>
      </c>
      <c r="I2" s="7"/>
      <c r="J2" s="5"/>
      <c r="K2" s="5"/>
      <c r="L2" s="5"/>
    </row>
    <row r="3" ht="15.75" customHeight="1">
      <c r="A3" s="8"/>
      <c r="B3" s="5"/>
      <c r="C3" s="5"/>
      <c r="D3" s="5"/>
      <c r="E3" s="5"/>
      <c r="F3" s="5"/>
      <c r="G3" s="9"/>
      <c r="H3" s="5"/>
      <c r="I3" s="7"/>
      <c r="J3" s="5"/>
      <c r="K3" s="5"/>
      <c r="L3" s="5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63627.0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0.4388068966</v>
      </c>
      <c r="I5" s="16"/>
    </row>
    <row r="6" ht="15.75" customHeight="1">
      <c r="H6" s="17"/>
    </row>
    <row r="7" ht="15.75" customHeight="1">
      <c r="A7" s="18" t="s">
        <v>5</v>
      </c>
      <c r="B7" s="18"/>
      <c r="C7" s="18"/>
      <c r="D7" s="18"/>
      <c r="E7" s="18"/>
      <c r="F7" s="18"/>
      <c r="G7" s="18"/>
      <c r="H7" s="18"/>
      <c r="I7" s="19"/>
      <c r="K7" s="20"/>
      <c r="L7" s="20"/>
      <c r="M7" s="20"/>
      <c r="N7" s="20"/>
      <c r="O7" s="20"/>
      <c r="P7" s="20"/>
      <c r="Q7" s="20"/>
    </row>
    <row r="8" ht="15.75" customHeight="1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19"/>
      <c r="K8" s="20"/>
      <c r="L8" s="20"/>
      <c r="M8" s="20"/>
      <c r="N8" s="20"/>
      <c r="O8" s="20"/>
      <c r="P8" s="20"/>
      <c r="Q8" s="20"/>
    </row>
    <row r="9" ht="15.75" customHeight="1">
      <c r="A9" s="22" t="s">
        <v>14</v>
      </c>
      <c r="B9" s="23">
        <v>15.0</v>
      </c>
      <c r="C9" s="47">
        <v>2.0</v>
      </c>
      <c r="D9" s="25" t="s">
        <v>15</v>
      </c>
      <c r="E9" s="26">
        <f t="shared" ref="E9:E14" si="1">F9*0.6</f>
        <v>12</v>
      </c>
      <c r="F9" s="23">
        <v>20.0</v>
      </c>
      <c r="G9" s="22">
        <v>575.0</v>
      </c>
      <c r="H9" s="26">
        <f t="shared" ref="H9:H14" si="2">F9*G9</f>
        <v>11500</v>
      </c>
      <c r="I9" s="27" t="s">
        <v>16</v>
      </c>
      <c r="K9" s="20"/>
      <c r="L9" s="28"/>
      <c r="M9" s="28"/>
      <c r="N9" s="9"/>
      <c r="O9" s="29"/>
      <c r="P9" s="28"/>
      <c r="Q9" s="20"/>
    </row>
    <row r="10" ht="15.75" customHeight="1">
      <c r="A10" s="22" t="s">
        <v>17</v>
      </c>
      <c r="B10" s="23">
        <v>15.0</v>
      </c>
      <c r="C10" s="47">
        <v>2.0</v>
      </c>
      <c r="D10" s="25" t="s">
        <v>15</v>
      </c>
      <c r="E10" s="26">
        <f t="shared" si="1"/>
        <v>15</v>
      </c>
      <c r="F10" s="23">
        <v>25.0</v>
      </c>
      <c r="G10" s="22">
        <v>575.0</v>
      </c>
      <c r="H10" s="26">
        <f t="shared" si="2"/>
        <v>14375</v>
      </c>
      <c r="I10" s="27" t="s">
        <v>16</v>
      </c>
      <c r="L10" s="30"/>
      <c r="M10" s="30"/>
      <c r="N10" s="31"/>
      <c r="O10" s="29"/>
      <c r="P10" s="29"/>
      <c r="Q10" s="20"/>
    </row>
    <row r="11" ht="15.75" customHeight="1">
      <c r="A11" s="22" t="s">
        <v>18</v>
      </c>
      <c r="B11" s="23">
        <v>15.0</v>
      </c>
      <c r="C11" s="47">
        <v>2.0</v>
      </c>
      <c r="D11" s="25" t="s">
        <v>15</v>
      </c>
      <c r="E11" s="26">
        <f t="shared" si="1"/>
        <v>15</v>
      </c>
      <c r="F11" s="23">
        <v>25.0</v>
      </c>
      <c r="G11" s="22">
        <v>430.0</v>
      </c>
      <c r="H11" s="26">
        <f t="shared" si="2"/>
        <v>10750</v>
      </c>
      <c r="I11" s="27" t="s">
        <v>16</v>
      </c>
      <c r="L11" s="30"/>
      <c r="M11" s="30"/>
      <c r="N11" s="31"/>
      <c r="O11" s="29"/>
      <c r="P11" s="29"/>
      <c r="Q11" s="20"/>
    </row>
    <row r="12" ht="15.75" customHeight="1">
      <c r="A12" s="22" t="s">
        <v>14</v>
      </c>
      <c r="B12" s="23">
        <v>10.0</v>
      </c>
      <c r="C12" s="47">
        <v>2.0</v>
      </c>
      <c r="D12" s="25" t="s">
        <v>15</v>
      </c>
      <c r="E12" s="26">
        <f t="shared" si="1"/>
        <v>9</v>
      </c>
      <c r="F12" s="23">
        <v>15.0</v>
      </c>
      <c r="G12" s="23">
        <v>680.0</v>
      </c>
      <c r="H12" s="26">
        <f t="shared" si="2"/>
        <v>10200</v>
      </c>
      <c r="I12" s="27" t="s">
        <v>19</v>
      </c>
      <c r="J12" s="32" t="s">
        <v>20</v>
      </c>
      <c r="L12" s="33"/>
      <c r="M12" s="30"/>
      <c r="N12" s="9"/>
      <c r="O12" s="29"/>
      <c r="P12" s="28"/>
      <c r="Q12" s="20"/>
    </row>
    <row r="13" ht="15.75" customHeight="1">
      <c r="A13" s="22" t="s">
        <v>18</v>
      </c>
      <c r="B13" s="23">
        <v>15.0</v>
      </c>
      <c r="C13" s="47">
        <v>2.0</v>
      </c>
      <c r="D13" s="25" t="s">
        <v>15</v>
      </c>
      <c r="E13" s="26">
        <f t="shared" si="1"/>
        <v>15</v>
      </c>
      <c r="F13" s="23">
        <v>25.0</v>
      </c>
      <c r="G13" s="23">
        <v>680.0</v>
      </c>
      <c r="H13" s="26">
        <f t="shared" si="2"/>
        <v>17000</v>
      </c>
      <c r="I13" s="27" t="s">
        <v>19</v>
      </c>
      <c r="J13" s="34">
        <f>575*1.15*1.03</f>
        <v>681.0875</v>
      </c>
      <c r="K13" s="35" t="s">
        <v>14</v>
      </c>
      <c r="L13" s="29"/>
      <c r="M13" s="20"/>
      <c r="N13" s="20"/>
      <c r="O13" s="20"/>
      <c r="P13" s="20"/>
      <c r="Q13" s="20"/>
    </row>
    <row r="14" ht="15.75" customHeight="1">
      <c r="A14" s="22" t="s">
        <v>18</v>
      </c>
      <c r="B14" s="23">
        <v>15.0</v>
      </c>
      <c r="C14" s="47">
        <v>2.0</v>
      </c>
      <c r="D14" s="25" t="s">
        <v>15</v>
      </c>
      <c r="E14" s="26">
        <f t="shared" si="1"/>
        <v>15</v>
      </c>
      <c r="F14" s="23">
        <v>25.0</v>
      </c>
      <c r="G14" s="23">
        <v>510.0</v>
      </c>
      <c r="H14" s="26">
        <f t="shared" si="2"/>
        <v>12750</v>
      </c>
      <c r="I14" s="27" t="s">
        <v>19</v>
      </c>
      <c r="J14" s="34">
        <f>430*1.15*1.03</f>
        <v>509.335</v>
      </c>
      <c r="K14" s="35" t="s">
        <v>18</v>
      </c>
      <c r="L14" s="28"/>
      <c r="M14" s="20"/>
      <c r="N14" s="20"/>
      <c r="O14" s="20"/>
      <c r="P14" s="20"/>
      <c r="Q14" s="20"/>
    </row>
    <row r="15" ht="15.75" customHeight="1">
      <c r="A15" s="18" t="s">
        <v>21</v>
      </c>
      <c r="B15" s="18"/>
      <c r="C15" s="18"/>
      <c r="D15" s="18"/>
      <c r="E15" s="18">
        <f>sum(E9:E14)</f>
        <v>81</v>
      </c>
      <c r="F15" s="18">
        <f>SUM(F9:F14)</f>
        <v>135</v>
      </c>
      <c r="G15" s="18"/>
      <c r="H15" s="18">
        <f>sum(H9:H14)</f>
        <v>76575</v>
      </c>
      <c r="I15" s="36" t="s">
        <v>22</v>
      </c>
      <c r="J15" s="5"/>
      <c r="K15" s="28"/>
      <c r="L15" s="28"/>
      <c r="M15" s="20"/>
      <c r="N15" s="20"/>
      <c r="O15" s="20"/>
      <c r="P15" s="20"/>
      <c r="Q15" s="20"/>
    </row>
    <row r="16" ht="15.75" customHeight="1">
      <c r="A16" s="37">
        <f>COUNTA(A9:A14)</f>
        <v>6</v>
      </c>
      <c r="H16" s="38">
        <f>I16*0.925</f>
        <v>75270.025</v>
      </c>
      <c r="I16" s="39">
        <f>H2-H4</f>
        <v>81373</v>
      </c>
      <c r="J16" s="5"/>
      <c r="K16" s="28"/>
      <c r="L16" s="28"/>
      <c r="M16" s="20"/>
      <c r="N16" s="20"/>
      <c r="O16" s="20"/>
      <c r="P16" s="20"/>
      <c r="Q16" s="20"/>
    </row>
    <row r="17" ht="15.75" customHeight="1">
      <c r="H17" s="37" t="str">
        <f>"diff: "&amp;ROUNDUP(H16-H15,0)&amp;" kr"</f>
        <v>diff: -1305 kr</v>
      </c>
      <c r="J17" s="5"/>
      <c r="K17" s="5"/>
      <c r="L17" s="5"/>
    </row>
    <row r="18" ht="15.75" customHeight="1">
      <c r="A18" s="40" t="s">
        <v>23</v>
      </c>
      <c r="B18" s="40"/>
      <c r="C18" s="40"/>
      <c r="D18" s="40"/>
      <c r="E18" s="40"/>
      <c r="F18" s="41"/>
      <c r="G18" s="41"/>
      <c r="H18" s="42"/>
      <c r="J18" s="5"/>
      <c r="K18" s="5"/>
      <c r="L18" s="5"/>
    </row>
    <row r="19" ht="15.75" customHeight="1">
      <c r="A19" s="40"/>
      <c r="B19" s="40"/>
      <c r="C19" s="40"/>
      <c r="D19" s="40"/>
      <c r="E19" s="41" t="s">
        <v>24</v>
      </c>
      <c r="F19" s="41" t="s">
        <v>25</v>
      </c>
      <c r="G19" s="41" t="s">
        <v>26</v>
      </c>
      <c r="H19" s="42"/>
      <c r="J19" s="5"/>
      <c r="K19" s="5"/>
      <c r="L19" s="5"/>
    </row>
    <row r="20" ht="15.75" customHeight="1">
      <c r="A20" s="40"/>
      <c r="B20" s="40"/>
      <c r="C20" s="40"/>
      <c r="D20" s="40"/>
      <c r="E20" s="40">
        <f t="shared" ref="E20:F20" si="3">E15*1000</f>
        <v>81000</v>
      </c>
      <c r="F20" s="43">
        <f t="shared" si="3"/>
        <v>135000</v>
      </c>
      <c r="G20" s="44">
        <f>(H2/F20)*1000</f>
        <v>1074.074074</v>
      </c>
      <c r="H20" s="42"/>
      <c r="J20" s="5"/>
      <c r="K20" s="5"/>
      <c r="L20" s="5"/>
    </row>
    <row r="21" ht="15.75" customHeight="1">
      <c r="A21" s="8"/>
      <c r="B21" s="5"/>
      <c r="C21" s="5"/>
      <c r="D21" s="5"/>
      <c r="E21" s="5"/>
      <c r="F21" s="5"/>
      <c r="G21" s="45"/>
      <c r="H21" s="46"/>
      <c r="I21" s="5"/>
      <c r="J21" s="5"/>
      <c r="K21" s="5"/>
      <c r="L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8"/>
      <c r="B24" s="46"/>
      <c r="C24" s="46"/>
      <c r="D24" s="46"/>
      <c r="E24" s="5"/>
      <c r="F24" s="5"/>
      <c r="G24" s="5"/>
      <c r="H24" s="5"/>
      <c r="I24" s="5"/>
      <c r="J24" s="5"/>
      <c r="K24" s="5"/>
      <c r="L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J12:K12"/>
  </mergeCells>
  <conditionalFormatting sqref="H17">
    <cfRule type="expression" dxfId="0" priority="1">
      <formula>H17&gt;0</formula>
    </cfRule>
  </conditionalFormatting>
  <conditionalFormatting sqref="H17">
    <cfRule type="expression" dxfId="1" priority="2">
      <formula>H17&lt;0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  <c r="K1" s="5"/>
      <c r="L1" s="5"/>
    </row>
    <row r="2" ht="15.75" customHeight="1">
      <c r="A2" s="1" t="s">
        <v>2</v>
      </c>
      <c r="B2" s="2"/>
      <c r="C2" s="2"/>
      <c r="D2" s="2"/>
      <c r="E2" s="2"/>
      <c r="F2" s="2"/>
      <c r="G2" s="2"/>
      <c r="H2" s="6">
        <v>145000.0</v>
      </c>
      <c r="I2" s="7"/>
      <c r="J2" s="5"/>
      <c r="K2" s="5"/>
      <c r="L2" s="5"/>
    </row>
    <row r="3" ht="15.75" customHeight="1">
      <c r="A3" s="8"/>
      <c r="B3" s="5"/>
      <c r="C3" s="5"/>
      <c r="D3" s="5"/>
      <c r="E3" s="5"/>
      <c r="F3" s="5"/>
      <c r="G3" s="9"/>
      <c r="H3" s="5"/>
      <c r="I3" s="7"/>
      <c r="J3" s="5"/>
      <c r="K3" s="5"/>
      <c r="L3" s="5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63627.0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0.4388068966</v>
      </c>
      <c r="I5" s="16"/>
    </row>
    <row r="6" ht="15.75" customHeight="1">
      <c r="H6" s="17"/>
    </row>
    <row r="7" ht="15.75" customHeight="1">
      <c r="A7" s="18" t="s">
        <v>5</v>
      </c>
      <c r="B7" s="18"/>
      <c r="C7" s="18"/>
      <c r="D7" s="18"/>
      <c r="E7" s="18"/>
      <c r="F7" s="18"/>
      <c r="G7" s="18"/>
      <c r="H7" s="18"/>
      <c r="I7" s="19"/>
      <c r="K7" s="20"/>
      <c r="L7" s="20"/>
      <c r="M7" s="20"/>
      <c r="N7" s="20"/>
      <c r="O7" s="20"/>
      <c r="P7" s="20"/>
      <c r="Q7" s="20"/>
    </row>
    <row r="8" ht="15.75" customHeight="1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19"/>
      <c r="K8" s="20"/>
      <c r="L8" s="20"/>
      <c r="M8" s="20"/>
      <c r="N8" s="20"/>
      <c r="O8" s="20"/>
      <c r="P8" s="20"/>
      <c r="Q8" s="20"/>
    </row>
    <row r="9" ht="15.75" customHeight="1">
      <c r="A9" s="22" t="s">
        <v>14</v>
      </c>
      <c r="B9" s="23" t="s">
        <v>28</v>
      </c>
      <c r="C9" s="47">
        <v>2.0</v>
      </c>
      <c r="D9" s="25" t="s">
        <v>15</v>
      </c>
      <c r="E9" s="26">
        <f t="shared" ref="E9:E14" si="1">F9*0.6</f>
        <v>13.2</v>
      </c>
      <c r="F9" s="23">
        <v>22.0</v>
      </c>
      <c r="G9" s="22">
        <v>575.0</v>
      </c>
      <c r="H9" s="26">
        <f t="shared" ref="H9:H14" si="2">F9*G9</f>
        <v>12650</v>
      </c>
      <c r="I9" s="27" t="s">
        <v>16</v>
      </c>
      <c r="K9" s="20"/>
      <c r="L9" s="28"/>
      <c r="M9" s="28"/>
      <c r="N9" s="9"/>
      <c r="O9" s="29"/>
      <c r="P9" s="28"/>
      <c r="Q9" s="20"/>
    </row>
    <row r="10" ht="15.75" customHeight="1">
      <c r="A10" s="22" t="s">
        <v>17</v>
      </c>
      <c r="B10" s="23" t="s">
        <v>28</v>
      </c>
      <c r="C10" s="47">
        <v>2.0</v>
      </c>
      <c r="D10" s="25" t="s">
        <v>15</v>
      </c>
      <c r="E10" s="26">
        <f t="shared" si="1"/>
        <v>13.2</v>
      </c>
      <c r="F10" s="23">
        <v>22.0</v>
      </c>
      <c r="G10" s="22">
        <v>575.0</v>
      </c>
      <c r="H10" s="26">
        <f t="shared" si="2"/>
        <v>12650</v>
      </c>
      <c r="I10" s="27" t="s">
        <v>16</v>
      </c>
      <c r="L10" s="30"/>
      <c r="M10" s="30"/>
      <c r="N10" s="31"/>
      <c r="O10" s="29"/>
      <c r="P10" s="29"/>
      <c r="Q10" s="20"/>
    </row>
    <row r="11" ht="15.75" customHeight="1">
      <c r="A11" s="22" t="s">
        <v>18</v>
      </c>
      <c r="B11" s="23" t="s">
        <v>28</v>
      </c>
      <c r="C11" s="47">
        <v>2.0</v>
      </c>
      <c r="D11" s="25" t="s">
        <v>15</v>
      </c>
      <c r="E11" s="26">
        <f t="shared" si="1"/>
        <v>13.2</v>
      </c>
      <c r="F11" s="23">
        <v>22.0</v>
      </c>
      <c r="G11" s="22">
        <v>430.0</v>
      </c>
      <c r="H11" s="26">
        <f t="shared" si="2"/>
        <v>9460</v>
      </c>
      <c r="I11" s="27" t="s">
        <v>16</v>
      </c>
      <c r="L11" s="30"/>
      <c r="M11" s="30"/>
      <c r="N11" s="31"/>
      <c r="O11" s="29"/>
      <c r="P11" s="29"/>
      <c r="Q11" s="20"/>
    </row>
    <row r="12" ht="15.75" customHeight="1">
      <c r="A12" s="22" t="s">
        <v>14</v>
      </c>
      <c r="B12" s="23" t="s">
        <v>29</v>
      </c>
      <c r="C12" s="47">
        <v>2.0</v>
      </c>
      <c r="D12" s="25" t="s">
        <v>15</v>
      </c>
      <c r="E12" s="26">
        <f t="shared" si="1"/>
        <v>13.2</v>
      </c>
      <c r="F12" s="23">
        <v>22.0</v>
      </c>
      <c r="G12" s="23">
        <v>680.0</v>
      </c>
      <c r="H12" s="26">
        <f t="shared" si="2"/>
        <v>14960</v>
      </c>
      <c r="I12" s="27" t="s">
        <v>19</v>
      </c>
      <c r="J12" s="32" t="s">
        <v>20</v>
      </c>
      <c r="L12" s="33"/>
      <c r="M12" s="30"/>
      <c r="N12" s="9"/>
      <c r="O12" s="29"/>
      <c r="P12" s="28"/>
      <c r="Q12" s="20"/>
    </row>
    <row r="13" ht="15.75" customHeight="1">
      <c r="A13" s="22" t="s">
        <v>18</v>
      </c>
      <c r="B13" s="23" t="s">
        <v>29</v>
      </c>
      <c r="C13" s="47">
        <v>2.0</v>
      </c>
      <c r="D13" s="25" t="s">
        <v>15</v>
      </c>
      <c r="E13" s="26">
        <f t="shared" si="1"/>
        <v>13.2</v>
      </c>
      <c r="F13" s="23">
        <v>22.0</v>
      </c>
      <c r="G13" s="23">
        <v>680.0</v>
      </c>
      <c r="H13" s="26">
        <f t="shared" si="2"/>
        <v>14960</v>
      </c>
      <c r="I13" s="27" t="s">
        <v>19</v>
      </c>
      <c r="J13" s="34">
        <f>575*1.15*1.03</f>
        <v>681.0875</v>
      </c>
      <c r="K13" s="35" t="s">
        <v>14</v>
      </c>
      <c r="L13" s="29"/>
      <c r="M13" s="20"/>
      <c r="N13" s="20"/>
      <c r="O13" s="20"/>
      <c r="P13" s="20"/>
      <c r="Q13" s="20"/>
    </row>
    <row r="14" ht="15.75" customHeight="1">
      <c r="A14" s="22" t="s">
        <v>18</v>
      </c>
      <c r="B14" s="23" t="s">
        <v>29</v>
      </c>
      <c r="C14" s="47">
        <v>2.0</v>
      </c>
      <c r="D14" s="25" t="s">
        <v>15</v>
      </c>
      <c r="E14" s="26">
        <f t="shared" si="1"/>
        <v>13.2</v>
      </c>
      <c r="F14" s="23">
        <v>22.0</v>
      </c>
      <c r="G14" s="23">
        <v>510.0</v>
      </c>
      <c r="H14" s="26">
        <f t="shared" si="2"/>
        <v>11220</v>
      </c>
      <c r="I14" s="27" t="s">
        <v>19</v>
      </c>
      <c r="J14" s="34">
        <f>430*1.15*1.03</f>
        <v>509.335</v>
      </c>
      <c r="K14" s="35" t="s">
        <v>18</v>
      </c>
      <c r="L14" s="28"/>
      <c r="M14" s="20"/>
      <c r="N14" s="20"/>
      <c r="O14" s="20"/>
      <c r="P14" s="20"/>
      <c r="Q14" s="20"/>
    </row>
    <row r="15" ht="15.75" customHeight="1">
      <c r="A15" s="18" t="s">
        <v>21</v>
      </c>
      <c r="B15" s="18"/>
      <c r="C15" s="18"/>
      <c r="D15" s="18"/>
      <c r="E15" s="18">
        <f>sum(E9:E14)</f>
        <v>79.2</v>
      </c>
      <c r="F15" s="18">
        <f>SUM(F9:F14)</f>
        <v>132</v>
      </c>
      <c r="G15" s="18"/>
      <c r="H15" s="18">
        <f>sum(H9:H14)</f>
        <v>75900</v>
      </c>
      <c r="I15" s="36" t="s">
        <v>22</v>
      </c>
      <c r="J15" s="5"/>
      <c r="K15" s="28"/>
      <c r="L15" s="28"/>
      <c r="M15" s="20"/>
      <c r="N15" s="20"/>
      <c r="O15" s="20"/>
      <c r="P15" s="20"/>
      <c r="Q15" s="20"/>
    </row>
    <row r="16" ht="15.75" customHeight="1">
      <c r="A16" s="37">
        <f>COUNTA(A9:A14)</f>
        <v>6</v>
      </c>
      <c r="H16" s="38">
        <f>I16*0.925</f>
        <v>75270.025</v>
      </c>
      <c r="I16" s="39">
        <f>H2-H4</f>
        <v>81373</v>
      </c>
      <c r="J16" s="5"/>
      <c r="K16" s="28"/>
      <c r="L16" s="28"/>
      <c r="M16" s="20"/>
      <c r="N16" s="20"/>
      <c r="O16" s="20"/>
      <c r="P16" s="20"/>
      <c r="Q16" s="20"/>
    </row>
    <row r="17" ht="15.75" customHeight="1">
      <c r="H17" s="37" t="str">
        <f>"diff: "&amp;ROUNDUP(H16-H15,0)&amp;" kr"</f>
        <v>diff: -630 kr</v>
      </c>
      <c r="J17" s="5"/>
      <c r="K17" s="5"/>
      <c r="L17" s="5"/>
    </row>
    <row r="18" ht="15.75" customHeight="1">
      <c r="A18" s="40" t="s">
        <v>23</v>
      </c>
      <c r="B18" s="40"/>
      <c r="C18" s="40"/>
      <c r="D18" s="40"/>
      <c r="E18" s="40"/>
      <c r="F18" s="41"/>
      <c r="G18" s="41"/>
      <c r="H18" s="42"/>
      <c r="J18" s="5"/>
      <c r="K18" s="5"/>
      <c r="L18" s="5"/>
    </row>
    <row r="19" ht="15.75" customHeight="1">
      <c r="A19" s="40"/>
      <c r="B19" s="40"/>
      <c r="C19" s="40"/>
      <c r="D19" s="40"/>
      <c r="E19" s="41" t="s">
        <v>24</v>
      </c>
      <c r="F19" s="41" t="s">
        <v>25</v>
      </c>
      <c r="G19" s="41" t="s">
        <v>26</v>
      </c>
      <c r="H19" s="42"/>
      <c r="J19" s="5"/>
      <c r="K19" s="5"/>
      <c r="L19" s="5"/>
    </row>
    <row r="20" ht="15.75" customHeight="1">
      <c r="A20" s="40"/>
      <c r="B20" s="40"/>
      <c r="C20" s="40"/>
      <c r="D20" s="40"/>
      <c r="E20" s="40">
        <f t="shared" ref="E20:F20" si="3">E15*1000</f>
        <v>79200</v>
      </c>
      <c r="F20" s="43">
        <f t="shared" si="3"/>
        <v>132000</v>
      </c>
      <c r="G20" s="44">
        <f>(H2/F20)*1000</f>
        <v>1098.484848</v>
      </c>
      <c r="H20" s="42"/>
      <c r="J20" s="5"/>
      <c r="K20" s="5"/>
      <c r="L20" s="5"/>
    </row>
    <row r="21" ht="15.75" customHeight="1">
      <c r="A21" s="8"/>
      <c r="B21" s="5"/>
      <c r="C21" s="5"/>
      <c r="D21" s="5"/>
      <c r="E21" s="5"/>
      <c r="F21" s="5"/>
      <c r="G21" s="45"/>
      <c r="H21" s="46"/>
      <c r="I21" s="5"/>
      <c r="J21" s="5"/>
      <c r="K21" s="5"/>
      <c r="L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8"/>
      <c r="B24" s="46"/>
      <c r="C24" s="46"/>
      <c r="D24" s="46"/>
      <c r="E24" s="5"/>
      <c r="F24" s="5"/>
      <c r="G24" s="5"/>
      <c r="H24" s="5"/>
      <c r="I24" s="5"/>
      <c r="J24" s="5"/>
      <c r="K24" s="5"/>
      <c r="L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J12:K12"/>
  </mergeCells>
  <conditionalFormatting sqref="H17">
    <cfRule type="expression" dxfId="0" priority="1">
      <formula>H17&gt;0</formula>
    </cfRule>
  </conditionalFormatting>
  <conditionalFormatting sqref="H17">
    <cfRule type="expression" dxfId="1" priority="2">
      <formula>H17&lt;0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5"/>
      <c r="K1" s="5"/>
      <c r="L1" s="5"/>
    </row>
    <row r="2" ht="15.75" customHeight="1">
      <c r="A2" s="1" t="s">
        <v>2</v>
      </c>
      <c r="B2" s="2"/>
      <c r="C2" s="2"/>
      <c r="D2" s="2"/>
      <c r="E2" s="2"/>
      <c r="F2" s="2"/>
      <c r="G2" s="2"/>
      <c r="H2" s="6">
        <v>145000.0</v>
      </c>
      <c r="I2" s="7"/>
      <c r="J2" s="5"/>
      <c r="K2" s="5"/>
      <c r="L2" s="5"/>
    </row>
    <row r="3" ht="15.75" customHeight="1">
      <c r="A3" s="8"/>
      <c r="B3" s="5"/>
      <c r="C3" s="5"/>
      <c r="D3" s="5"/>
      <c r="E3" s="5"/>
      <c r="F3" s="5"/>
      <c r="G3" s="9"/>
      <c r="H3" s="5"/>
      <c r="I3" s="7"/>
      <c r="J3" s="5"/>
      <c r="K3" s="5"/>
      <c r="L3" s="5"/>
    </row>
    <row r="4" ht="15.75" customHeight="1">
      <c r="A4" s="10" t="s">
        <v>3</v>
      </c>
      <c r="B4" s="11"/>
      <c r="C4" s="11"/>
      <c r="D4" s="11"/>
      <c r="E4" s="11"/>
      <c r="F4" s="11"/>
      <c r="G4" s="11"/>
      <c r="H4" s="12">
        <v>83269.0</v>
      </c>
      <c r="I4" s="13"/>
    </row>
    <row r="5" ht="15.75" customHeight="1">
      <c r="A5" s="14" t="s">
        <v>4</v>
      </c>
      <c r="B5" s="11"/>
      <c r="C5" s="11"/>
      <c r="D5" s="11"/>
      <c r="E5" s="11"/>
      <c r="F5" s="11"/>
      <c r="G5" s="11"/>
      <c r="H5" s="15">
        <f>H4/H2</f>
        <v>0.5742689655</v>
      </c>
      <c r="I5" s="16"/>
    </row>
    <row r="6" ht="15.75" customHeight="1">
      <c r="H6" s="17"/>
    </row>
    <row r="7" ht="15.75" customHeight="1">
      <c r="A7" s="18" t="s">
        <v>5</v>
      </c>
      <c r="B7" s="18"/>
      <c r="C7" s="18"/>
      <c r="D7" s="18"/>
      <c r="E7" s="18"/>
      <c r="F7" s="18"/>
      <c r="G7" s="18"/>
      <c r="H7" s="18"/>
      <c r="I7" s="19"/>
      <c r="K7" s="20"/>
      <c r="L7" s="20"/>
      <c r="M7" s="20"/>
      <c r="N7" s="20"/>
      <c r="O7" s="20"/>
      <c r="P7" s="20"/>
      <c r="Q7" s="20"/>
    </row>
    <row r="8" ht="15.75" customHeight="1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21" t="s">
        <v>12</v>
      </c>
      <c r="H8" s="21" t="s">
        <v>13</v>
      </c>
      <c r="I8" s="19"/>
      <c r="K8" s="20"/>
      <c r="L8" s="20"/>
      <c r="M8" s="20"/>
      <c r="N8" s="20"/>
      <c r="O8" s="20"/>
      <c r="P8" s="20"/>
      <c r="Q8" s="20"/>
    </row>
    <row r="9" ht="15.75" customHeight="1">
      <c r="A9" s="22" t="s">
        <v>14</v>
      </c>
      <c r="B9" s="23">
        <v>7.0</v>
      </c>
      <c r="C9" s="47">
        <v>2.0</v>
      </c>
      <c r="D9" s="25" t="s">
        <v>15</v>
      </c>
      <c r="E9" s="48">
        <f t="shared" ref="E9:E16" si="1">F9*0.6</f>
        <v>6</v>
      </c>
      <c r="F9" s="23">
        <f t="shared" ref="F9:F10" si="2">ROUNDUP((B9*0.7)*C9,0)</f>
        <v>10</v>
      </c>
      <c r="G9" s="22">
        <v>575.0</v>
      </c>
      <c r="H9" s="26">
        <f t="shared" ref="H9:H16" si="3">F9*G9</f>
        <v>5750</v>
      </c>
      <c r="I9" s="27" t="s">
        <v>16</v>
      </c>
      <c r="K9" s="20"/>
      <c r="L9" s="28"/>
      <c r="M9" s="28"/>
      <c r="N9" s="9"/>
      <c r="O9" s="29"/>
      <c r="P9" s="28"/>
      <c r="Q9" s="20"/>
    </row>
    <row r="10" ht="15.75" customHeight="1">
      <c r="A10" s="22" t="s">
        <v>14</v>
      </c>
      <c r="B10" s="23">
        <v>7.0</v>
      </c>
      <c r="C10" s="47">
        <v>2.0</v>
      </c>
      <c r="D10" s="25" t="s">
        <v>15</v>
      </c>
      <c r="E10" s="48">
        <f t="shared" si="1"/>
        <v>6</v>
      </c>
      <c r="F10" s="23">
        <f t="shared" si="2"/>
        <v>10</v>
      </c>
      <c r="G10" s="22">
        <v>575.0</v>
      </c>
      <c r="H10" s="26">
        <f t="shared" si="3"/>
        <v>5750</v>
      </c>
      <c r="I10" s="27" t="s">
        <v>16</v>
      </c>
      <c r="K10" s="20"/>
      <c r="L10" s="28"/>
      <c r="M10" s="28"/>
      <c r="N10" s="9"/>
      <c r="O10" s="29"/>
      <c r="P10" s="28"/>
      <c r="Q10" s="20"/>
    </row>
    <row r="11" ht="15.75" customHeight="1">
      <c r="A11" s="22" t="s">
        <v>17</v>
      </c>
      <c r="B11" s="23">
        <v>10.0</v>
      </c>
      <c r="C11" s="47">
        <v>2.0</v>
      </c>
      <c r="D11" s="25" t="s">
        <v>15</v>
      </c>
      <c r="E11" s="48">
        <f t="shared" si="1"/>
        <v>9.6</v>
      </c>
      <c r="F11" s="23">
        <f t="shared" ref="F11:F12" si="4">ROUNDUP((B11*0.8)*C11,0)</f>
        <v>16</v>
      </c>
      <c r="G11" s="22">
        <v>430.0</v>
      </c>
      <c r="H11" s="26">
        <f t="shared" si="3"/>
        <v>6880</v>
      </c>
      <c r="I11" s="27" t="s">
        <v>16</v>
      </c>
      <c r="L11" s="30"/>
      <c r="M11" s="30"/>
      <c r="N11" s="31"/>
      <c r="O11" s="29"/>
      <c r="P11" s="29"/>
      <c r="Q11" s="20"/>
    </row>
    <row r="12" ht="15.75" customHeight="1">
      <c r="A12" s="22" t="s">
        <v>18</v>
      </c>
      <c r="B12" s="23">
        <v>10.0</v>
      </c>
      <c r="C12" s="47">
        <v>2.0</v>
      </c>
      <c r="D12" s="25" t="s">
        <v>15</v>
      </c>
      <c r="E12" s="48">
        <f t="shared" si="1"/>
        <v>9.6</v>
      </c>
      <c r="F12" s="23">
        <f t="shared" si="4"/>
        <v>16</v>
      </c>
      <c r="G12" s="22">
        <v>430.0</v>
      </c>
      <c r="H12" s="26">
        <f t="shared" si="3"/>
        <v>6880</v>
      </c>
      <c r="I12" s="27" t="s">
        <v>16</v>
      </c>
      <c r="L12" s="30"/>
      <c r="M12" s="30"/>
      <c r="N12" s="31"/>
      <c r="O12" s="29"/>
      <c r="P12" s="29"/>
      <c r="Q12" s="20"/>
    </row>
    <row r="13" ht="15.75" customHeight="1">
      <c r="A13" s="22" t="s">
        <v>14</v>
      </c>
      <c r="B13" s="23">
        <v>7.0</v>
      </c>
      <c r="C13" s="47">
        <v>2.0</v>
      </c>
      <c r="D13" s="25" t="s">
        <v>15</v>
      </c>
      <c r="E13" s="48">
        <f t="shared" si="1"/>
        <v>6</v>
      </c>
      <c r="F13" s="23">
        <f t="shared" ref="F13:F14" si="5">ROUNDUP((B13*0.7)*C13,0)</f>
        <v>10</v>
      </c>
      <c r="G13" s="23">
        <v>680.0</v>
      </c>
      <c r="H13" s="26">
        <f t="shared" si="3"/>
        <v>6800</v>
      </c>
      <c r="I13" s="27" t="s">
        <v>19</v>
      </c>
      <c r="J13" s="32" t="s">
        <v>20</v>
      </c>
      <c r="L13" s="33"/>
      <c r="M13" s="30"/>
      <c r="N13" s="9"/>
      <c r="O13" s="29"/>
      <c r="P13" s="28"/>
      <c r="Q13" s="20"/>
    </row>
    <row r="14" ht="15.75" customHeight="1">
      <c r="A14" s="22" t="s">
        <v>14</v>
      </c>
      <c r="B14" s="23">
        <v>7.0</v>
      </c>
      <c r="C14" s="47">
        <v>2.0</v>
      </c>
      <c r="D14" s="25" t="s">
        <v>15</v>
      </c>
      <c r="E14" s="48">
        <f t="shared" si="1"/>
        <v>6</v>
      </c>
      <c r="F14" s="23">
        <f t="shared" si="5"/>
        <v>10</v>
      </c>
      <c r="G14" s="23">
        <v>680.0</v>
      </c>
      <c r="H14" s="26">
        <f t="shared" si="3"/>
        <v>6800</v>
      </c>
      <c r="I14" s="27" t="s">
        <v>19</v>
      </c>
      <c r="J14" s="34">
        <f>575*1.15*1.03</f>
        <v>681.0875</v>
      </c>
      <c r="K14" s="35" t="s">
        <v>14</v>
      </c>
      <c r="L14" s="29"/>
      <c r="M14" s="20"/>
      <c r="N14" s="20"/>
      <c r="O14" s="20"/>
      <c r="P14" s="20"/>
      <c r="Q14" s="20"/>
    </row>
    <row r="15" ht="15.75" customHeight="1">
      <c r="A15" s="22" t="s">
        <v>18</v>
      </c>
      <c r="B15" s="23">
        <v>10.0</v>
      </c>
      <c r="C15" s="47">
        <v>2.0</v>
      </c>
      <c r="D15" s="25" t="s">
        <v>15</v>
      </c>
      <c r="E15" s="48">
        <f t="shared" si="1"/>
        <v>9.6</v>
      </c>
      <c r="F15" s="23">
        <f t="shared" ref="F15:F16" si="6">ROUNDUP((B15*0.8)*C15,0)</f>
        <v>16</v>
      </c>
      <c r="G15" s="23">
        <v>510.0</v>
      </c>
      <c r="H15" s="26">
        <f t="shared" si="3"/>
        <v>8160</v>
      </c>
      <c r="I15" s="27" t="s">
        <v>19</v>
      </c>
      <c r="J15" s="34">
        <f>430*1.15*1.03</f>
        <v>509.335</v>
      </c>
      <c r="K15" s="35" t="s">
        <v>18</v>
      </c>
      <c r="L15" s="29"/>
      <c r="M15" s="20"/>
      <c r="N15" s="20"/>
      <c r="O15" s="20"/>
      <c r="P15" s="20"/>
      <c r="Q15" s="20"/>
    </row>
    <row r="16" ht="15.75" customHeight="1">
      <c r="A16" s="22" t="s">
        <v>18</v>
      </c>
      <c r="B16" s="23">
        <v>10.0</v>
      </c>
      <c r="C16" s="47">
        <v>2.0</v>
      </c>
      <c r="D16" s="25" t="s">
        <v>15</v>
      </c>
      <c r="E16" s="48">
        <f t="shared" si="1"/>
        <v>9.6</v>
      </c>
      <c r="F16" s="23">
        <f t="shared" si="6"/>
        <v>16</v>
      </c>
      <c r="G16" s="23">
        <v>510.0</v>
      </c>
      <c r="H16" s="26">
        <f t="shared" si="3"/>
        <v>8160</v>
      </c>
      <c r="I16" s="27" t="s">
        <v>19</v>
      </c>
      <c r="L16" s="28"/>
      <c r="M16" s="20"/>
      <c r="N16" s="20"/>
      <c r="O16" s="20"/>
      <c r="P16" s="20"/>
      <c r="Q16" s="20"/>
    </row>
    <row r="17" ht="15.75" customHeight="1">
      <c r="A17" s="18" t="s">
        <v>21</v>
      </c>
      <c r="B17" s="18"/>
      <c r="C17" s="18"/>
      <c r="D17" s="18"/>
      <c r="E17" s="49">
        <f>sum(E9:E16)</f>
        <v>62.4</v>
      </c>
      <c r="F17" s="18">
        <f>SUM(F9:F16)</f>
        <v>104</v>
      </c>
      <c r="G17" s="18"/>
      <c r="H17" s="18">
        <f>sum(H9:H16)</f>
        <v>55180</v>
      </c>
      <c r="I17" s="36" t="s">
        <v>22</v>
      </c>
      <c r="J17" s="5"/>
      <c r="K17" s="28"/>
      <c r="L17" s="28"/>
      <c r="M17" s="20"/>
      <c r="N17" s="20"/>
      <c r="O17" s="20"/>
      <c r="P17" s="20"/>
      <c r="Q17" s="20"/>
    </row>
    <row r="18" ht="15.75" customHeight="1">
      <c r="A18" s="37">
        <f>COUNTA(A9:A16)</f>
        <v>8</v>
      </c>
      <c r="H18" s="50">
        <f>I18*0.925</f>
        <v>57101.175</v>
      </c>
      <c r="I18" s="39">
        <f>H2-H4</f>
        <v>61731</v>
      </c>
      <c r="J18" s="5"/>
      <c r="K18" s="28"/>
      <c r="L18" s="28"/>
      <c r="M18" s="20"/>
      <c r="N18" s="20"/>
      <c r="O18" s="20"/>
      <c r="P18" s="20"/>
      <c r="Q18" s="20"/>
    </row>
    <row r="19" ht="15.75" customHeight="1">
      <c r="H19" s="37" t="str">
        <f>"diff: "&amp;ROUNDUP(H18-H17,0)&amp;" kr"</f>
        <v>diff: 1922 kr</v>
      </c>
      <c r="J19" s="5"/>
      <c r="K19" s="5"/>
      <c r="L19" s="5"/>
    </row>
    <row r="20" ht="15.75" customHeight="1">
      <c r="A20" s="40" t="s">
        <v>23</v>
      </c>
      <c r="B20" s="40"/>
      <c r="C20" s="40"/>
      <c r="D20" s="40"/>
      <c r="E20" s="40"/>
      <c r="F20" s="41"/>
      <c r="G20" s="41"/>
      <c r="H20" s="42"/>
      <c r="J20" s="5"/>
      <c r="K20" s="5"/>
      <c r="L20" s="5"/>
    </row>
    <row r="21" ht="15.75" customHeight="1">
      <c r="A21" s="40"/>
      <c r="B21" s="40"/>
      <c r="C21" s="40"/>
      <c r="D21" s="40"/>
      <c r="E21" s="41" t="s">
        <v>24</v>
      </c>
      <c r="F21" s="41" t="s">
        <v>25</v>
      </c>
      <c r="G21" s="41" t="s">
        <v>26</v>
      </c>
      <c r="H21" s="42"/>
      <c r="J21" s="5"/>
      <c r="K21" s="5"/>
      <c r="L21" s="5"/>
    </row>
    <row r="22" ht="15.75" customHeight="1">
      <c r="A22" s="40"/>
      <c r="B22" s="40"/>
      <c r="C22" s="40"/>
      <c r="D22" s="40"/>
      <c r="E22" s="40">
        <f t="shared" ref="E22:F22" si="7">E17*1000</f>
        <v>62400</v>
      </c>
      <c r="F22" s="43">
        <f t="shared" si="7"/>
        <v>104000</v>
      </c>
      <c r="G22" s="44">
        <f>(H2/F22)*1000</f>
        <v>1394.230769</v>
      </c>
      <c r="H22" s="42"/>
      <c r="J22" s="5"/>
      <c r="K22" s="5"/>
      <c r="L22" s="5"/>
    </row>
    <row r="23" ht="15.75" customHeight="1">
      <c r="A23" s="8"/>
      <c r="B23" s="5"/>
      <c r="C23" s="5"/>
      <c r="D23" s="5"/>
      <c r="E23" s="5"/>
      <c r="F23" s="5"/>
      <c r="G23" s="45"/>
      <c r="H23" s="46"/>
      <c r="I23" s="5"/>
      <c r="J23" s="5"/>
      <c r="K23" s="5"/>
      <c r="L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.75" customHeight="1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.75" customHeight="1">
      <c r="A26" s="8"/>
      <c r="B26" s="46"/>
      <c r="C26" s="46"/>
      <c r="D26" s="46"/>
      <c r="E26" s="5"/>
      <c r="F26" s="5"/>
      <c r="G26" s="5"/>
      <c r="H26" s="5"/>
      <c r="I26" s="5"/>
      <c r="J26" s="5"/>
      <c r="K26" s="5"/>
      <c r="L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J13:K13"/>
  </mergeCells>
  <conditionalFormatting sqref="H19">
    <cfRule type="expression" dxfId="0" priority="1">
      <formula>H19&gt;0</formula>
    </cfRule>
  </conditionalFormatting>
  <conditionalFormatting sqref="H19">
    <cfRule type="expression" dxfId="1" priority="2">
      <formula>H19&lt;0</formula>
    </cfRule>
  </conditionalFormatting>
  <drawing r:id="rId1"/>
</worksheet>
</file>