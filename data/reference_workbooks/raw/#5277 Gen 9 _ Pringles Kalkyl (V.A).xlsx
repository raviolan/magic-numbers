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 €52K" sheetId="1" r:id="rId4"/>
    <sheet state="visible" name="NO €45K" sheetId="2" r:id="rId5"/>
    <sheet state="visible" name="DK €45K" sheetId="3" r:id="rId6"/>
    <sheet state="visible" name="FI €45K" sheetId="4" r:id="rId7"/>
  </sheets>
  <definedNames/>
  <calcPr/>
  <extLst>
    <ext uri="GoogleSheetsCustomDataVersion2">
      <go:sheetsCustomData xmlns:go="http://customooxmlschemas.google.com/" r:id="rId8" roundtripDataChecksum="CsrBdHaUTMok3djWJr4LsB7p4cYK4WbEGTFUCHJwdac="/>
    </ext>
  </extLst>
</workbook>
</file>

<file path=xl/sharedStrings.xml><?xml version="1.0" encoding="utf-8"?>
<sst xmlns="http://schemas.openxmlformats.org/spreadsheetml/2006/main" count="216" uniqueCount="35">
  <si>
    <t>Valuta</t>
  </si>
  <si>
    <t>EUR</t>
  </si>
  <si>
    <t>SEK (€*11)&amp;3%</t>
  </si>
  <si>
    <t>Kampanjbudget</t>
  </si>
  <si>
    <t>Nine Agency hantering</t>
  </si>
  <si>
    <t>Andel (%)</t>
  </si>
  <si>
    <t>Profiles</t>
  </si>
  <si>
    <t>Channel</t>
  </si>
  <si>
    <t>Follower size</t>
  </si>
  <si>
    <t xml:space="preserve">Follower size – actual </t>
  </si>
  <si>
    <t>Activation</t>
  </si>
  <si>
    <t>Content rights</t>
  </si>
  <si>
    <t>Reach (K)</t>
  </si>
  <si>
    <t>Impressions (K) per activation</t>
  </si>
  <si>
    <t>CPM (profile)</t>
  </si>
  <si>
    <t>Profie fee – total</t>
  </si>
  <si>
    <t>TikTok</t>
  </si>
  <si>
    <t>inkl 7,5%</t>
  </si>
  <si>
    <t>Diff:</t>
  </si>
  <si>
    <t>TOTAL CAMPAIGN</t>
  </si>
  <si>
    <t>Reach</t>
  </si>
  <si>
    <t>Impressions</t>
  </si>
  <si>
    <t>CPM</t>
  </si>
  <si>
    <t>Paid: Add on</t>
  </si>
  <si>
    <t>Antal annonser</t>
  </si>
  <si>
    <t>Pris per annons</t>
  </si>
  <si>
    <t>Målsättning</t>
  </si>
  <si>
    <t>CPM (paid)</t>
  </si>
  <si>
    <t>8h Nine admin</t>
  </si>
  <si>
    <t>SmartOn hantering</t>
  </si>
  <si>
    <t>Media spend Meta</t>
  </si>
  <si>
    <t>räckvidd/trafik</t>
  </si>
  <si>
    <t>Media spend TikTok</t>
  </si>
  <si>
    <t>Total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</si>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</sst>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 ### ### ###"/>
    <numFmt numFmtId="165" formatCode="# ### ##0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i/>
      <color rgb="FF38761D"/>
      <name val="Arial"/>
    </font>
    <font>
      <i/>
      <color rgb="FF000000"/>
      <name val="Arial"/>
    </font>
    <font>
      <i/>
      <color theme="1"/>
      <name val="Arial"/>
      <scheme val="minor"/>
    </font>
    <font>
      <b/>
      <i/>
      <color theme="1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3" fontId="2" numFmtId="165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0" fontId="1" numFmtId="0" xfId="0" applyFont="1"/>
    <xf borderId="0" fillId="3" fontId="2" numFmtId="0" xfId="0" applyFont="1"/>
    <xf borderId="0" fillId="5" fontId="3" numFmtId="0" xfId="0" applyFont="1"/>
    <xf borderId="0" fillId="5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6" fontId="2" numFmtId="0" xfId="0" applyFill="1" applyFont="1"/>
    <xf borderId="0" fillId="0" fontId="2" numFmtId="0" xfId="0" applyFont="1"/>
    <xf borderId="0" fillId="0" fontId="2" numFmtId="1" xfId="0" applyAlignment="1" applyFont="1" applyNumberFormat="1">
      <alignment readingOrder="0"/>
    </xf>
    <xf borderId="0" fillId="6" fontId="2" numFmtId="1" xfId="0" applyFont="1" applyNumberFormat="1"/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3" fontId="2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3" fontId="1" numFmtId="0" xfId="0" applyAlignment="1" applyFont="1">
      <alignment vertical="bottom"/>
    </xf>
    <xf borderId="0" fillId="6" fontId="2" numFmtId="0" xfId="0" applyAlignment="1" applyFont="1">
      <alignment horizontal="right" vertical="bottom"/>
    </xf>
    <xf borderId="0" fillId="5" fontId="1" numFmtId="1" xfId="0" applyFont="1" applyNumberFormat="1"/>
    <xf borderId="0" fillId="0" fontId="3" numFmtId="0" xfId="0" applyAlignment="1" applyFont="1">
      <alignment horizontal="right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4" numFmtId="0" xfId="0" applyAlignment="1" applyFont="1">
      <alignment horizontal="right" readingOrder="0"/>
    </xf>
    <xf borderId="0" fillId="0" fontId="7" numFmtId="0" xfId="0" applyAlignment="1" applyFont="1">
      <alignment horizontal="left"/>
    </xf>
    <xf borderId="0" fillId="7" fontId="1" numFmtId="0" xfId="0" applyFill="1" applyFont="1"/>
    <xf borderId="0" fillId="7" fontId="3" numFmtId="0" xfId="0" applyFont="1"/>
    <xf borderId="0" fillId="7" fontId="2" numFmtId="0" xfId="0" applyFont="1"/>
    <xf borderId="0" fillId="7" fontId="8" numFmtId="0" xfId="0" applyFont="1"/>
    <xf borderId="0" fillId="7" fontId="8" numFmtId="1" xfId="0" applyFont="1" applyNumberForma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8" fontId="1" numFmtId="0" xfId="0" applyAlignment="1" applyFill="1" applyFont="1">
      <alignment readingOrder="0"/>
    </xf>
    <xf borderId="0" fillId="8" fontId="1" numFmtId="0" xfId="0" applyFont="1"/>
    <xf borderId="0" fillId="8" fontId="2" numFmtId="0" xfId="0" applyAlignment="1" applyFont="1">
      <alignment readingOrder="0"/>
    </xf>
    <xf borderId="0" fillId="8" fontId="3" numFmtId="10" xfId="0" applyFont="1" applyNumberFormat="1"/>
    <xf borderId="0" fillId="8" fontId="3" numFmtId="0" xfId="0" applyFont="1"/>
    <xf borderId="0" fillId="6" fontId="2" numFmtId="1" xfId="0" applyAlignment="1" applyFont="1" applyNumberFormat="1">
      <alignment horizontal="right" vertical="bottom"/>
    </xf>
    <xf borderId="0" fillId="3" fontId="9" numFmtId="165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readingOrder="0" vertical="bottom"/>
    </xf>
    <xf borderId="0" fillId="0" fontId="7" numFmtId="9" xfId="0" applyAlignment="1" applyFont="1" applyNumberFormat="1">
      <alignment readingOrder="0"/>
    </xf>
    <xf borderId="0" fillId="0" fontId="2" numFmtId="1" xfId="0" applyAlignment="1" applyFont="1" applyNumberFormat="1">
      <alignment horizontal="right" vertical="bottom"/>
    </xf>
    <xf borderId="0" fillId="3" fontId="3" numFmtId="9" xfId="0" applyAlignment="1" applyFont="1" applyNumberFormat="1">
      <alignment horizontal="right" readingOrder="0" vertical="bottom"/>
    </xf>
    <xf borderId="0" fillId="8" fontId="1" numFmtId="1" xfId="0" applyAlignment="1" applyFont="1" applyNumberFormat="1">
      <alignment vertical="bottom"/>
    </xf>
    <xf borderId="0" fillId="8" fontId="1" numFmtId="1" xfId="0" applyAlignment="1" applyFont="1" applyNumberFormat="1">
      <alignment horizontal="right" vertical="bottom"/>
    </xf>
    <xf borderId="0" fillId="8" fontId="2" numFmtId="165" xfId="0" applyAlignment="1" applyFont="1" applyNumberFormat="1">
      <alignment vertical="bottom"/>
    </xf>
    <xf borderId="0" fillId="8" fontId="2" numFmtId="1" xfId="0" applyAlignment="1" applyFont="1" applyNumberFormat="1">
      <alignment vertical="bottom"/>
    </xf>
    <xf borderId="0" fillId="8" fontId="2" numFmtId="1" xfId="0" applyAlignment="1" applyFont="1" applyNumberFormat="1">
      <alignment horizontal="right" vertical="bottom"/>
    </xf>
    <xf borderId="0" fillId="8" fontId="3" numFmtId="10" xfId="0" applyAlignment="1" applyFont="1" applyNumberFormat="1">
      <alignment horizontal="right" vertical="bottom"/>
    </xf>
    <xf borderId="0" fillId="2" fontId="2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4" fontId="1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2" numFmtId="1" xfId="0" applyAlignment="1" applyFont="1" applyNumberFormat="1">
      <alignment vertical="bottom"/>
    </xf>
    <xf borderId="0" fillId="4" fontId="1" numFmtId="1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4" fontId="3" numFmtId="10" xfId="0" applyAlignment="1" applyFont="1" applyNumberFormat="1">
      <alignment horizontal="right" vertical="bottom"/>
    </xf>
    <xf borderId="0" fillId="0" fontId="2" numFmtId="10" xfId="0" applyAlignment="1" applyFont="1" applyNumberFormat="1">
      <alignment vertical="bottom"/>
    </xf>
    <xf borderId="0" fillId="5" fontId="1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2" numFmtId="1" xfId="0" applyAlignment="1" applyFont="1" applyNumberFormat="1">
      <alignment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5" fontId="3" numFmtId="1" xfId="0" applyAlignment="1" applyFont="1" applyNumberFormat="1">
      <alignment vertical="bottom"/>
    </xf>
    <xf borderId="0" fillId="9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9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6" fontId="2" numFmtId="0" xfId="0" applyAlignment="1" applyFont="1">
      <alignment horizontal="right" vertical="bottom"/>
    </xf>
    <xf borderId="0" fillId="9" fontId="2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7" fontId="1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7" fontId="2" numFmtId="10" xfId="0" applyAlignment="1" applyFont="1" applyNumberFormat="1">
      <alignment vertical="bottom"/>
    </xf>
    <xf borderId="0" fillId="7" fontId="1" numFmtId="0" xfId="0" applyAlignment="1" applyFont="1">
      <alignment horizontal="right" vertical="bottom"/>
    </xf>
    <xf borderId="0" fillId="7" fontId="8" numFmtId="0" xfId="0" applyAlignment="1" applyFont="1">
      <alignment horizontal="right" vertical="bottom"/>
    </xf>
    <xf borderId="0" fillId="7" fontId="8" numFmtId="1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9" xfId="0" applyAlignment="1" applyFont="1" applyNumberFormat="1">
      <alignment vertical="bottom"/>
    </xf>
    <xf borderId="0" fillId="8" fontId="1" numFmtId="0" xfId="0" applyAlignment="1" applyFont="1">
      <alignment vertical="bottom"/>
    </xf>
    <xf borderId="0" fillId="8" fontId="2" numFmtId="0" xfId="0" applyAlignment="1" applyFont="1">
      <alignment vertical="bottom"/>
    </xf>
    <xf borderId="0" fillId="8" fontId="3" numFmtId="0" xfId="0" applyAlignment="1" applyFont="1">
      <alignment vertical="bottom"/>
    </xf>
    <xf borderId="0" fillId="8" fontId="3" numFmtId="1" xfId="0" applyAlignment="1" applyFont="1" applyNumberFormat="1">
      <alignment vertical="bottom"/>
    </xf>
    <xf borderId="0" fillId="8" fontId="3" numFmtId="165" xfId="0" applyAlignment="1" applyFont="1" applyNumberFormat="1">
      <alignment vertical="bottom"/>
    </xf>
    <xf borderId="0" fillId="8" fontId="2" numFmtId="10" xfId="0" applyAlignment="1" applyFont="1" applyNumberFormat="1">
      <alignment vertical="bottom"/>
    </xf>
    <xf borderId="0" fillId="6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0" fontId="3" numFmtId="9" xfId="0" applyAlignment="1" applyFont="1" applyNumberFormat="1">
      <alignment horizontal="right" vertical="bottom"/>
    </xf>
    <xf borderId="0" fillId="3" fontId="3" numFmtId="9" xfId="0" applyAlignment="1" applyFont="1" applyNumberFormat="1">
      <alignment horizontal="right" vertical="bottom"/>
    </xf>
    <xf borderId="0" fillId="8" fontId="3" numFmtId="0" xfId="0" applyAlignment="1" applyFont="1">
      <alignment vertical="bottom"/>
    </xf>
    <xf borderId="0" fillId="8" fontId="2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7" fontId="1" numFmtId="0" xfId="0" applyAlignment="1" applyFont="1">
      <alignment horizontal="right" vertical="bottom"/>
    </xf>
    <xf borderId="0" fillId="7" fontId="8" numFmtId="0" xfId="0" applyAlignment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5" width="24.0"/>
    <col customWidth="1" min="6" max="6" width="14.0"/>
    <col customWidth="1" min="7" max="7" width="23.5"/>
    <col customWidth="1" min="8" max="8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4" t="s">
        <v>2</v>
      </c>
      <c r="L1" s="5"/>
      <c r="M1" s="5"/>
    </row>
    <row r="2" ht="15.75" customHeight="1">
      <c r="A2" s="1" t="s">
        <v>3</v>
      </c>
      <c r="B2" s="2"/>
      <c r="C2" s="2"/>
      <c r="D2" s="2"/>
      <c r="E2" s="2"/>
      <c r="F2" s="2"/>
      <c r="G2" s="2"/>
      <c r="H2" s="2"/>
      <c r="I2" s="6">
        <v>52000.0</v>
      </c>
      <c r="J2" s="7">
        <f>I2*11*0.97</f>
        <v>554840</v>
      </c>
      <c r="L2" s="5"/>
      <c r="M2" s="5"/>
    </row>
    <row r="3" ht="15.75" customHeight="1">
      <c r="A3" s="8"/>
      <c r="B3" s="5"/>
      <c r="C3" s="5"/>
      <c r="D3" s="5"/>
      <c r="E3" s="5"/>
      <c r="F3" s="5"/>
      <c r="G3" s="5"/>
      <c r="H3" s="9"/>
      <c r="I3" s="5"/>
      <c r="J3" s="5"/>
      <c r="K3" s="5"/>
      <c r="L3" s="5"/>
      <c r="M3" s="5"/>
    </row>
    <row r="4" ht="15.75" customHeight="1">
      <c r="A4" s="10" t="s">
        <v>4</v>
      </c>
      <c r="B4" s="11"/>
      <c r="C4" s="11"/>
      <c r="D4" s="11"/>
      <c r="E4" s="11"/>
      <c r="F4" s="11"/>
      <c r="G4" s="11"/>
      <c r="H4" s="11"/>
      <c r="I4" s="12">
        <v>18379.0</v>
      </c>
    </row>
    <row r="5" ht="15.75" customHeight="1">
      <c r="A5" s="13" t="s">
        <v>5</v>
      </c>
      <c r="B5" s="11"/>
      <c r="C5" s="11"/>
      <c r="D5" s="11"/>
      <c r="E5" s="11"/>
      <c r="F5" s="11"/>
      <c r="G5" s="11"/>
      <c r="H5" s="11"/>
      <c r="I5" s="14">
        <f>I4/I2</f>
        <v>0.3534423077</v>
      </c>
    </row>
    <row r="6" ht="15.75" customHeight="1">
      <c r="I6" s="15"/>
    </row>
    <row r="7" ht="15.75" customHeight="1">
      <c r="A7" s="16" t="s">
        <v>6</v>
      </c>
      <c r="B7" s="16"/>
      <c r="C7" s="16"/>
      <c r="D7" s="16"/>
      <c r="E7" s="16"/>
      <c r="F7" s="16"/>
      <c r="G7" s="16"/>
      <c r="H7" s="16"/>
      <c r="I7" s="16"/>
      <c r="J7" s="17"/>
      <c r="L7" s="18"/>
      <c r="M7" s="18"/>
      <c r="N7" s="18"/>
      <c r="O7" s="18"/>
      <c r="P7" s="18"/>
      <c r="Q7" s="18"/>
      <c r="R7" s="18"/>
    </row>
    <row r="8" ht="15.75" customHeight="1">
      <c r="A8" s="19" t="s">
        <v>7</v>
      </c>
      <c r="B8" s="19" t="s">
        <v>8</v>
      </c>
      <c r="C8" s="20" t="s">
        <v>9</v>
      </c>
      <c r="D8" s="19" t="s">
        <v>10</v>
      </c>
      <c r="E8" s="19" t="s">
        <v>11</v>
      </c>
      <c r="F8" s="19" t="s">
        <v>12</v>
      </c>
      <c r="G8" s="20" t="s">
        <v>13</v>
      </c>
      <c r="H8" s="19" t="s">
        <v>14</v>
      </c>
      <c r="I8" s="20" t="s">
        <v>15</v>
      </c>
      <c r="J8" s="17"/>
      <c r="L8" s="18"/>
      <c r="M8" s="18"/>
      <c r="N8" s="18"/>
      <c r="O8" s="18"/>
      <c r="P8" s="18"/>
      <c r="Q8" s="18"/>
      <c r="R8" s="18"/>
    </row>
    <row r="9" ht="15.75" customHeight="1">
      <c r="A9" s="21" t="s">
        <v>16</v>
      </c>
      <c r="B9" s="22">
        <v>35.0</v>
      </c>
      <c r="C9" s="23" t="str">
        <f t="shared" ref="C9:C11" si="1">IFS(
B9=15,"10-20K",
B9=35,"20-50K",
B9=75,"50-100K",
B9=125,"100-150K"
)</f>
        <v>20-50K</v>
      </c>
      <c r="D9" s="22">
        <v>1.0</v>
      </c>
      <c r="E9" s="18"/>
      <c r="F9" s="24">
        <f t="shared" ref="F9:F20" si="2">G9*0.6</f>
        <v>18</v>
      </c>
      <c r="G9" s="25">
        <f t="shared" ref="G9:G20" si="3">MROUND(B9*0.8,5)</f>
        <v>30</v>
      </c>
      <c r="H9" s="26">
        <f t="shared" ref="H9:H20" si="4">34*1.03</f>
        <v>35.02</v>
      </c>
      <c r="I9" s="27">
        <f t="shared" ref="I9:I20" si="5">G9*H9*D9</f>
        <v>1050.6</v>
      </c>
      <c r="L9" s="18"/>
      <c r="M9" s="28"/>
      <c r="N9" s="28"/>
      <c r="O9" s="9"/>
      <c r="P9" s="29"/>
      <c r="Q9" s="28"/>
      <c r="R9" s="18"/>
    </row>
    <row r="10" ht="15.75" customHeight="1">
      <c r="A10" s="21" t="s">
        <v>16</v>
      </c>
      <c r="B10" s="22">
        <v>35.0</v>
      </c>
      <c r="C10" s="23" t="str">
        <f t="shared" si="1"/>
        <v>20-50K</v>
      </c>
      <c r="D10" s="22">
        <v>1.0</v>
      </c>
      <c r="E10" s="18"/>
      <c r="F10" s="24">
        <f t="shared" si="2"/>
        <v>18</v>
      </c>
      <c r="G10" s="25">
        <f t="shared" si="3"/>
        <v>30</v>
      </c>
      <c r="H10" s="26">
        <f t="shared" si="4"/>
        <v>35.02</v>
      </c>
      <c r="I10" s="27">
        <f t="shared" si="5"/>
        <v>1050.6</v>
      </c>
      <c r="L10" s="18"/>
      <c r="M10" s="30"/>
      <c r="N10" s="30"/>
      <c r="O10" s="31"/>
      <c r="P10" s="29"/>
      <c r="Q10" s="29"/>
      <c r="R10" s="18"/>
    </row>
    <row r="11" ht="15.75" customHeight="1">
      <c r="A11" s="32" t="s">
        <v>16</v>
      </c>
      <c r="B11" s="22">
        <v>75.0</v>
      </c>
      <c r="C11" s="23" t="str">
        <f t="shared" si="1"/>
        <v>50-100K</v>
      </c>
      <c r="D11" s="32">
        <v>1.0</v>
      </c>
      <c r="E11" s="28"/>
      <c r="F11" s="24">
        <f t="shared" si="2"/>
        <v>36</v>
      </c>
      <c r="G11" s="25">
        <f t="shared" si="3"/>
        <v>60</v>
      </c>
      <c r="H11" s="26">
        <f t="shared" si="4"/>
        <v>35.02</v>
      </c>
      <c r="I11" s="27">
        <f t="shared" si="5"/>
        <v>2101.2</v>
      </c>
      <c r="J11" s="33"/>
      <c r="K11" s="5"/>
      <c r="L11" s="28"/>
      <c r="M11" s="34"/>
      <c r="N11" s="34"/>
      <c r="O11" s="9"/>
      <c r="P11" s="28"/>
      <c r="Q11" s="28"/>
      <c r="R11" s="28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15.75" customHeight="1">
      <c r="A12" s="21" t="s">
        <v>16</v>
      </c>
      <c r="B12" s="22">
        <v>75.0</v>
      </c>
      <c r="C12" s="23" t="str">
        <f t="shared" ref="C12:C16" si="6">IFS(
B11=15,"10-20K",
B11=35,"20-50K",
B11=75,"50-100K",
B11=125,"100-150K"
)</f>
        <v>50-100K</v>
      </c>
      <c r="D12" s="22">
        <v>1.0</v>
      </c>
      <c r="E12" s="18"/>
      <c r="F12" s="24">
        <f t="shared" si="2"/>
        <v>36</v>
      </c>
      <c r="G12" s="25">
        <f t="shared" si="3"/>
        <v>60</v>
      </c>
      <c r="H12" s="26">
        <f t="shared" si="4"/>
        <v>35.02</v>
      </c>
      <c r="I12" s="27">
        <f t="shared" si="5"/>
        <v>2101.2</v>
      </c>
      <c r="L12" s="18"/>
      <c r="M12" s="30"/>
      <c r="N12" s="30"/>
      <c r="O12" s="31"/>
      <c r="P12" s="29"/>
      <c r="Q12" s="29"/>
      <c r="R12" s="18"/>
    </row>
    <row r="13" ht="15.75" customHeight="1">
      <c r="A13" s="21" t="s">
        <v>16</v>
      </c>
      <c r="B13" s="22">
        <v>75.0</v>
      </c>
      <c r="C13" s="23" t="str">
        <f t="shared" si="6"/>
        <v>50-100K</v>
      </c>
      <c r="D13" s="22">
        <v>1.0</v>
      </c>
      <c r="E13" s="18"/>
      <c r="F13" s="24">
        <f t="shared" si="2"/>
        <v>36</v>
      </c>
      <c r="G13" s="25">
        <f t="shared" si="3"/>
        <v>60</v>
      </c>
      <c r="H13" s="26">
        <f t="shared" si="4"/>
        <v>35.02</v>
      </c>
      <c r="I13" s="27">
        <f t="shared" si="5"/>
        <v>2101.2</v>
      </c>
      <c r="L13" s="18"/>
      <c r="M13" s="34"/>
      <c r="N13" s="30"/>
      <c r="O13" s="9"/>
      <c r="P13" s="29"/>
      <c r="Q13" s="28"/>
      <c r="R13" s="18"/>
    </row>
    <row r="14" ht="15.75" customHeight="1">
      <c r="A14" s="21" t="s">
        <v>16</v>
      </c>
      <c r="B14" s="22">
        <v>75.0</v>
      </c>
      <c r="C14" s="23" t="str">
        <f t="shared" si="6"/>
        <v>50-100K</v>
      </c>
      <c r="D14" s="22">
        <v>1.0</v>
      </c>
      <c r="E14" s="18"/>
      <c r="F14" s="24">
        <f t="shared" si="2"/>
        <v>36</v>
      </c>
      <c r="G14" s="25">
        <f t="shared" si="3"/>
        <v>60</v>
      </c>
      <c r="H14" s="26">
        <f t="shared" si="4"/>
        <v>35.02</v>
      </c>
      <c r="I14" s="27">
        <f t="shared" si="5"/>
        <v>2101.2</v>
      </c>
      <c r="K14" s="5"/>
      <c r="L14" s="35"/>
      <c r="M14" s="29"/>
      <c r="N14" s="18"/>
      <c r="O14" s="18"/>
      <c r="P14" s="18"/>
      <c r="Q14" s="18"/>
      <c r="R14" s="18"/>
    </row>
    <row r="15" ht="15.75" customHeight="1">
      <c r="A15" s="21" t="s">
        <v>16</v>
      </c>
      <c r="B15" s="32">
        <v>75.0</v>
      </c>
      <c r="C15" s="23" t="str">
        <f t="shared" si="6"/>
        <v>50-100K</v>
      </c>
      <c r="D15" s="22">
        <v>1.0</v>
      </c>
      <c r="E15" s="18"/>
      <c r="F15" s="24">
        <f t="shared" si="2"/>
        <v>36</v>
      </c>
      <c r="G15" s="25">
        <f t="shared" si="3"/>
        <v>60</v>
      </c>
      <c r="H15" s="26">
        <f t="shared" si="4"/>
        <v>35.02</v>
      </c>
      <c r="I15" s="27">
        <f t="shared" si="5"/>
        <v>2101.2</v>
      </c>
      <c r="K15" s="5"/>
      <c r="L15" s="28"/>
      <c r="M15" s="28"/>
      <c r="N15" s="18"/>
      <c r="O15" s="18"/>
      <c r="P15" s="18"/>
      <c r="Q15" s="18"/>
      <c r="R15" s="18"/>
    </row>
    <row r="16" ht="15.75" customHeight="1">
      <c r="A16" s="32" t="s">
        <v>16</v>
      </c>
      <c r="B16" s="32">
        <v>75.0</v>
      </c>
      <c r="C16" s="23" t="str">
        <f t="shared" si="6"/>
        <v>50-100K</v>
      </c>
      <c r="D16" s="32">
        <v>1.0</v>
      </c>
      <c r="E16" s="28"/>
      <c r="F16" s="36">
        <f t="shared" si="2"/>
        <v>36</v>
      </c>
      <c r="G16" s="25">
        <f t="shared" si="3"/>
        <v>60</v>
      </c>
      <c r="H16" s="26">
        <f t="shared" si="4"/>
        <v>35.02</v>
      </c>
      <c r="I16" s="27">
        <f t="shared" si="5"/>
        <v>2101.2</v>
      </c>
      <c r="J16" s="33"/>
      <c r="K16" s="5"/>
      <c r="L16" s="28"/>
      <c r="M16" s="34"/>
      <c r="N16" s="34"/>
      <c r="O16" s="9"/>
      <c r="P16" s="28"/>
      <c r="Q16" s="28"/>
      <c r="R16" s="28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15.75" customHeight="1">
      <c r="A17" s="32" t="s">
        <v>16</v>
      </c>
      <c r="B17" s="21">
        <v>125.0</v>
      </c>
      <c r="C17" s="23" t="str">
        <f t="shared" ref="C17:C19" si="7">IFS(
B17=15,"10-20K",
B17=35,"20-50K",
B17=75,"50-100K",
B17=125,"100-150K"
)</f>
        <v>100-150K</v>
      </c>
      <c r="D17" s="32">
        <v>1.0</v>
      </c>
      <c r="E17" s="28"/>
      <c r="F17" s="36">
        <f t="shared" si="2"/>
        <v>60</v>
      </c>
      <c r="G17" s="25">
        <f t="shared" si="3"/>
        <v>100</v>
      </c>
      <c r="H17" s="26">
        <f t="shared" si="4"/>
        <v>35.02</v>
      </c>
      <c r="I17" s="27">
        <f t="shared" si="5"/>
        <v>3502</v>
      </c>
      <c r="J17" s="33"/>
      <c r="K17" s="5"/>
      <c r="L17" s="28"/>
      <c r="M17" s="28"/>
      <c r="N17" s="28"/>
      <c r="O17" s="28"/>
      <c r="P17" s="28"/>
      <c r="Q17" s="28"/>
      <c r="R17" s="28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15.75" customHeight="1">
      <c r="A18" s="32" t="s">
        <v>16</v>
      </c>
      <c r="B18" s="22">
        <v>125.0</v>
      </c>
      <c r="C18" s="23" t="str">
        <f t="shared" si="7"/>
        <v>100-150K</v>
      </c>
      <c r="D18" s="32">
        <v>1.0</v>
      </c>
      <c r="E18" s="28"/>
      <c r="F18" s="36">
        <f t="shared" si="2"/>
        <v>60</v>
      </c>
      <c r="G18" s="25">
        <f t="shared" si="3"/>
        <v>100</v>
      </c>
      <c r="H18" s="26">
        <f t="shared" si="4"/>
        <v>35.02</v>
      </c>
      <c r="I18" s="27">
        <f t="shared" si="5"/>
        <v>3502</v>
      </c>
      <c r="J18" s="33"/>
      <c r="K18" s="5"/>
      <c r="L18" s="28"/>
      <c r="M18" s="28"/>
      <c r="N18" s="28"/>
      <c r="O18" s="9"/>
      <c r="P18" s="28"/>
      <c r="Q18" s="28"/>
      <c r="R18" s="28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5.75" customHeight="1">
      <c r="A19" s="32" t="s">
        <v>16</v>
      </c>
      <c r="B19" s="32">
        <v>125.0</v>
      </c>
      <c r="C19" s="23" t="str">
        <f t="shared" si="7"/>
        <v>100-150K</v>
      </c>
      <c r="D19" s="32">
        <v>1.0</v>
      </c>
      <c r="E19" s="28"/>
      <c r="F19" s="36">
        <f t="shared" si="2"/>
        <v>60</v>
      </c>
      <c r="G19" s="25">
        <f t="shared" si="3"/>
        <v>100</v>
      </c>
      <c r="H19" s="26">
        <f t="shared" si="4"/>
        <v>35.02</v>
      </c>
      <c r="I19" s="27">
        <f t="shared" si="5"/>
        <v>3502</v>
      </c>
      <c r="J19" s="33"/>
      <c r="K19" s="5"/>
      <c r="L19" s="28"/>
      <c r="M19" s="34"/>
      <c r="N19" s="34"/>
      <c r="O19" s="9"/>
      <c r="P19" s="28"/>
      <c r="Q19" s="28"/>
      <c r="R19" s="28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15.75" customHeight="1">
      <c r="A20" s="32" t="s">
        <v>16</v>
      </c>
      <c r="B20" s="32">
        <v>175.0</v>
      </c>
      <c r="C20" s="23" t="str">
        <f>IFS(
B20=15,"10-20K",
B20=35,"20-50K",
B20=75,"50-100K",
B20=125,"100-150K",
B20=175,"150-200K"
)</f>
        <v>150-200K</v>
      </c>
      <c r="D20" s="32">
        <v>1.0</v>
      </c>
      <c r="E20" s="28"/>
      <c r="F20" s="36">
        <f t="shared" si="2"/>
        <v>84</v>
      </c>
      <c r="G20" s="25">
        <f t="shared" si="3"/>
        <v>140</v>
      </c>
      <c r="H20" s="26">
        <f t="shared" si="4"/>
        <v>35.02</v>
      </c>
      <c r="I20" s="27">
        <f t="shared" si="5"/>
        <v>4902.8</v>
      </c>
      <c r="J20" s="33"/>
      <c r="K20" s="5"/>
      <c r="L20" s="28"/>
      <c r="M20" s="28"/>
      <c r="N20" s="28"/>
      <c r="O20" s="28"/>
      <c r="P20" s="28"/>
      <c r="Q20" s="28"/>
      <c r="R20" s="28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5.75" customHeight="1">
      <c r="A21" s="16" t="str">
        <f>"Total Profiles: "&amp;ROWS(A9:A20)*COLUMNS(A1:A99)</f>
        <v>Total Profiles: 12</v>
      </c>
      <c r="B21" s="16"/>
      <c r="C21" s="16"/>
      <c r="D21" s="16">
        <f>SUM(D8:D20)</f>
        <v>12</v>
      </c>
      <c r="E21" s="16"/>
      <c r="F21" s="16">
        <f>sum(F9:F20)</f>
        <v>516</v>
      </c>
      <c r="G21" s="16">
        <f>SUM(G9:G20)</f>
        <v>860</v>
      </c>
      <c r="H21" s="16"/>
      <c r="I21" s="37">
        <f>sum(I9:I20)</f>
        <v>30117.2</v>
      </c>
      <c r="J21" s="38" t="s">
        <v>17</v>
      </c>
      <c r="K21" s="5"/>
      <c r="L21" s="28"/>
      <c r="M21" s="28"/>
      <c r="N21" s="18"/>
      <c r="O21" s="18"/>
      <c r="P21" s="18"/>
      <c r="Q21" s="18"/>
      <c r="R21" s="18"/>
    </row>
    <row r="22" ht="15.75" customHeight="1">
      <c r="A22" s="39" t="str">
        <f>"Total Tiktok: "&amp;COUNTIF(A9:A20,"*tiktok*")</f>
        <v>Total Tiktok: 12</v>
      </c>
      <c r="I22" s="40">
        <f>J22*0.925</f>
        <v>31099.425</v>
      </c>
      <c r="J22" s="41">
        <f>I2-I4</f>
        <v>33621</v>
      </c>
      <c r="K22" s="5"/>
      <c r="L22" s="28"/>
      <c r="M22" s="28"/>
      <c r="N22" s="18"/>
      <c r="O22" s="18"/>
      <c r="P22" s="18"/>
      <c r="Q22" s="18"/>
      <c r="R22" s="18"/>
    </row>
    <row r="23" ht="15.75" customHeight="1">
      <c r="A23" s="39" t="str">
        <f>"Total Instagram: "&amp;COUNTIF(A9:A20,"*instagram*")</f>
        <v>Total Instagram: 0</v>
      </c>
      <c r="H23" s="42" t="s">
        <v>18</v>
      </c>
      <c r="I23" s="43">
        <f>ROUNDUP(I22-I21,0)</f>
        <v>983</v>
      </c>
    </row>
    <row r="24" ht="15.75" customHeight="1"/>
    <row r="25" ht="15.75" customHeight="1">
      <c r="A25" s="44" t="s">
        <v>19</v>
      </c>
      <c r="B25" s="44"/>
      <c r="C25" s="44"/>
      <c r="D25" s="44"/>
      <c r="E25" s="44"/>
      <c r="F25" s="44"/>
      <c r="G25" s="45"/>
      <c r="H25" s="45"/>
      <c r="I25" s="46"/>
      <c r="K25" s="5"/>
      <c r="L25" s="5"/>
      <c r="M25" s="5"/>
    </row>
    <row r="26" ht="15.75" customHeight="1">
      <c r="A26" s="44"/>
      <c r="B26" s="44"/>
      <c r="C26" s="44"/>
      <c r="D26" s="44"/>
      <c r="E26" s="44"/>
      <c r="F26" s="45" t="s">
        <v>20</v>
      </c>
      <c r="G26" s="45" t="s">
        <v>21</v>
      </c>
      <c r="H26" s="45" t="s">
        <v>22</v>
      </c>
      <c r="I26" s="46"/>
      <c r="K26" s="5"/>
      <c r="L26" s="5"/>
      <c r="M26" s="5"/>
    </row>
    <row r="27" ht="15.75" customHeight="1">
      <c r="A27" s="44"/>
      <c r="B27" s="44"/>
      <c r="C27" s="44"/>
      <c r="D27" s="44"/>
      <c r="E27" s="44"/>
      <c r="F27" s="44">
        <f t="shared" ref="F27:G27" si="8">F21*1000</f>
        <v>516000</v>
      </c>
      <c r="G27" s="47">
        <f t="shared" si="8"/>
        <v>860000</v>
      </c>
      <c r="H27" s="48">
        <f>(I2/G27)*1000</f>
        <v>60.46511628</v>
      </c>
      <c r="I27" s="46"/>
      <c r="K27" s="5"/>
      <c r="L27" s="5"/>
      <c r="M27" s="5"/>
    </row>
    <row r="28" ht="15.75" customHeight="1">
      <c r="A28" s="8"/>
      <c r="B28" s="5"/>
      <c r="C28" s="5"/>
      <c r="D28" s="5"/>
      <c r="E28" s="5"/>
      <c r="F28" s="5"/>
      <c r="G28" s="5"/>
      <c r="H28" s="49"/>
      <c r="I28" s="50"/>
      <c r="J28" s="5"/>
      <c r="K28" s="5"/>
      <c r="L28" s="5"/>
      <c r="M28" s="5"/>
    </row>
    <row r="29" ht="15.75" customHeight="1">
      <c r="A29" s="5"/>
      <c r="B29" s="51"/>
      <c r="C29" s="51"/>
      <c r="D29" s="51"/>
      <c r="E29" s="51"/>
      <c r="F29" s="5"/>
      <c r="G29" s="5"/>
      <c r="H29" s="5"/>
      <c r="I29" s="5"/>
      <c r="J29" s="5"/>
      <c r="K29" s="5"/>
      <c r="L29" s="5"/>
      <c r="M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5.75" customHeight="1">
      <c r="A31" s="52" t="s">
        <v>23</v>
      </c>
      <c r="B31" s="53"/>
      <c r="C31" s="53"/>
      <c r="D31" s="53"/>
      <c r="E31" s="53"/>
      <c r="F31" s="53"/>
      <c r="G31" s="53"/>
      <c r="H31" s="53"/>
      <c r="I31" s="52">
        <v>10000.0</v>
      </c>
    </row>
    <row r="32" ht="15.75" customHeight="1">
      <c r="A32" s="54" t="s">
        <v>5</v>
      </c>
      <c r="B32" s="53"/>
      <c r="C32" s="53"/>
      <c r="D32" s="53"/>
      <c r="E32" s="53"/>
      <c r="F32" s="53"/>
      <c r="G32" s="53"/>
      <c r="H32" s="53"/>
      <c r="I32" s="55">
        <f>I31/I2</f>
        <v>0.1923076923</v>
      </c>
    </row>
    <row r="33" ht="15.75" customHeight="1">
      <c r="A33" s="53"/>
      <c r="B33" s="56" t="s">
        <v>24</v>
      </c>
      <c r="C33" s="56"/>
      <c r="D33" s="56" t="s">
        <v>25</v>
      </c>
      <c r="E33" s="56" t="s">
        <v>26</v>
      </c>
      <c r="F33" s="56" t="s">
        <v>20</v>
      </c>
      <c r="G33" s="56" t="s">
        <v>21</v>
      </c>
      <c r="H33" s="56" t="s">
        <v>27</v>
      </c>
      <c r="I33" s="53"/>
      <c r="L33" s="18"/>
      <c r="M33" s="18"/>
      <c r="N33" s="18"/>
      <c r="O33" s="18"/>
      <c r="P33" s="18"/>
      <c r="Q33" s="18"/>
      <c r="R33" s="18"/>
    </row>
    <row r="34" ht="15.75" customHeight="1">
      <c r="A34" s="22" t="s">
        <v>4</v>
      </c>
      <c r="B34" s="22"/>
      <c r="C34" s="25"/>
      <c r="D34" s="26"/>
      <c r="E34" s="24"/>
      <c r="F34" s="24"/>
      <c r="G34" s="24"/>
      <c r="H34" s="24"/>
      <c r="I34" s="27">
        <f>8*96</f>
        <v>768</v>
      </c>
      <c r="J34" s="21" t="s">
        <v>28</v>
      </c>
      <c r="L34" s="18"/>
      <c r="M34" s="18"/>
      <c r="N34" s="18"/>
      <c r="O34" s="18"/>
      <c r="P34" s="18"/>
      <c r="Q34" s="18"/>
      <c r="R34" s="18"/>
    </row>
    <row r="35" ht="15.75" customHeight="1">
      <c r="A35" s="22" t="s">
        <v>29</v>
      </c>
      <c r="B35" s="22">
        <v>8.0</v>
      </c>
      <c r="C35" s="25"/>
      <c r="D35" s="26">
        <v>220.0</v>
      </c>
      <c r="E35" s="24"/>
      <c r="F35" s="24"/>
      <c r="G35" s="24"/>
      <c r="H35" s="24"/>
      <c r="I35" s="27">
        <f>B35*D35</f>
        <v>1760</v>
      </c>
      <c r="L35" s="18"/>
      <c r="M35" s="18"/>
      <c r="N35" s="18"/>
      <c r="O35" s="18"/>
      <c r="P35" s="18"/>
      <c r="Q35" s="18"/>
      <c r="R35" s="18"/>
    </row>
    <row r="36" ht="15.75" customHeight="1">
      <c r="A36" s="25" t="s">
        <v>30</v>
      </c>
      <c r="B36" s="24"/>
      <c r="C36" s="24"/>
      <c r="D36" s="24"/>
      <c r="E36" s="25" t="s">
        <v>31</v>
      </c>
      <c r="F36" s="57">
        <f t="shared" ref="F36:F38" si="9">G36*0.25</f>
        <v>0</v>
      </c>
      <c r="G36" s="57">
        <f t="shared" ref="G36:G37" si="10">sum(1000*I36)/H36*0.85</f>
        <v>0</v>
      </c>
      <c r="H36" s="58">
        <f>(50*1.18)/11</f>
        <v>5.363636364</v>
      </c>
      <c r="I36" s="59">
        <v>0.0</v>
      </c>
      <c r="J36" s="60">
        <v>0.4</v>
      </c>
      <c r="L36" s="18"/>
      <c r="M36" s="18"/>
      <c r="N36" s="18"/>
      <c r="O36" s="18"/>
      <c r="P36" s="18"/>
      <c r="Q36" s="18"/>
      <c r="R36" s="18"/>
    </row>
    <row r="37" ht="15.75" customHeight="1">
      <c r="A37" s="25" t="s">
        <v>32</v>
      </c>
      <c r="B37" s="24"/>
      <c r="C37" s="24"/>
      <c r="D37" s="24"/>
      <c r="E37" s="25" t="s">
        <v>31</v>
      </c>
      <c r="F37" s="57">
        <f t="shared" si="9"/>
        <v>592061.0169</v>
      </c>
      <c r="G37" s="57">
        <f t="shared" si="10"/>
        <v>2368244.068</v>
      </c>
      <c r="H37" s="58">
        <f>(25*1.18)/11</f>
        <v>2.681818182</v>
      </c>
      <c r="I37" s="61">
        <f>(I31-I34-I35)</f>
        <v>7472</v>
      </c>
      <c r="J37" s="62">
        <v>0.6</v>
      </c>
      <c r="L37" s="18"/>
      <c r="M37" s="18"/>
      <c r="N37" s="18"/>
      <c r="O37" s="18"/>
      <c r="P37" s="18"/>
      <c r="Q37" s="18"/>
      <c r="R37" s="18"/>
    </row>
    <row r="38" ht="15.75" customHeight="1">
      <c r="A38" s="53" t="s">
        <v>33</v>
      </c>
      <c r="B38" s="53"/>
      <c r="C38" s="53"/>
      <c r="D38" s="53"/>
      <c r="E38" s="53"/>
      <c r="F38" s="63">
        <f t="shared" si="9"/>
        <v>592.0610169</v>
      </c>
      <c r="G38" s="64">
        <f>sum(G35:G37)/1000</f>
        <v>2368.244068</v>
      </c>
      <c r="H38" s="65"/>
      <c r="I38" s="64">
        <f>sum(I34:I37)</f>
        <v>10000</v>
      </c>
      <c r="J38" s="28"/>
      <c r="L38" s="18"/>
      <c r="M38" s="18"/>
      <c r="N38" s="18"/>
      <c r="O38" s="18"/>
      <c r="P38" s="18"/>
      <c r="Q38" s="18"/>
      <c r="R38" s="18"/>
    </row>
    <row r="39" ht="15.75" customHeight="1">
      <c r="A39" s="56" t="s">
        <v>5</v>
      </c>
      <c r="B39" s="53"/>
      <c r="C39" s="53"/>
      <c r="D39" s="53"/>
      <c r="E39" s="53"/>
      <c r="F39" s="66"/>
      <c r="G39" s="67"/>
      <c r="H39" s="65"/>
      <c r="I39" s="68">
        <f>I38/I2</f>
        <v>0.1923076923</v>
      </c>
      <c r="J39" s="28"/>
      <c r="L39" s="18"/>
      <c r="M39" s="18"/>
      <c r="N39" s="18"/>
      <c r="O39" s="18"/>
      <c r="P39" s="18"/>
      <c r="Q39" s="18"/>
      <c r="R39" s="18"/>
    </row>
    <row r="40" ht="15.75" customHeight="1"/>
    <row r="41" ht="15.75" customHeight="1">
      <c r="A41" s="44" t="s">
        <v>19</v>
      </c>
      <c r="B41" s="44"/>
      <c r="C41" s="44"/>
      <c r="D41" s="44"/>
      <c r="E41" s="44"/>
      <c r="F41" s="44"/>
      <c r="G41" s="45"/>
      <c r="H41" s="45"/>
      <c r="I41" s="46"/>
    </row>
    <row r="42" ht="15.75" customHeight="1">
      <c r="A42" s="44"/>
      <c r="B42" s="44"/>
      <c r="C42" s="44"/>
      <c r="D42" s="44"/>
      <c r="E42" s="44"/>
      <c r="F42" s="45" t="s">
        <v>20</v>
      </c>
      <c r="G42" s="45" t="s">
        <v>21</v>
      </c>
      <c r="H42" s="45" t="s">
        <v>22</v>
      </c>
      <c r="I42" s="46"/>
    </row>
    <row r="43" ht="15.75" customHeight="1">
      <c r="A43" s="44"/>
      <c r="B43" s="44"/>
      <c r="C43" s="44"/>
      <c r="D43" s="44"/>
      <c r="E43" s="44"/>
      <c r="F43" s="44">
        <f>(F38+F21)*1000</f>
        <v>1108061.017</v>
      </c>
      <c r="G43" s="47">
        <f>(G21+G38)*1000</f>
        <v>3228244.068</v>
      </c>
      <c r="H43" s="48">
        <f>(I18/I2)*1000</f>
        <v>67.34615385</v>
      </c>
      <c r="I43" s="4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conditionalFormatting sqref="I23">
    <cfRule type="expression" dxfId="0" priority="1">
      <formula>IF(I23&gt;0)</formula>
    </cfRule>
  </conditionalFormatting>
  <conditionalFormatting sqref="I23">
    <cfRule type="expression" dxfId="1" priority="2">
      <formula>IF(I23&lt;0)</formula>
    </cfRule>
  </conditionalFormatting>
  <conditionalFormatting sqref="A9:A20">
    <cfRule type="containsText" dxfId="2" priority="3" operator="containsText" text="TikTok">
      <formula>NOT(ISERROR(SEARCH(("TikTok"),(A9))))</formula>
    </cfRule>
  </conditionalFormatting>
  <conditionalFormatting sqref="A9:A20">
    <cfRule type="containsText" dxfId="3" priority="4" operator="containsText" text="Instagram">
      <formula>NOT(ISERROR(SEARCH(("Instagram"),(A9))))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5" width="24.0"/>
    <col customWidth="1" min="6" max="6" width="14.0"/>
    <col customWidth="1" min="7" max="7" width="23.5"/>
    <col customWidth="1" min="8" max="8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4" t="s">
        <v>2</v>
      </c>
      <c r="L1" s="5"/>
      <c r="M1" s="5"/>
    </row>
    <row r="2" ht="15.75" customHeight="1">
      <c r="A2" s="1" t="s">
        <v>3</v>
      </c>
      <c r="B2" s="2"/>
      <c r="C2" s="2"/>
      <c r="D2" s="2"/>
      <c r="E2" s="2"/>
      <c r="F2" s="2"/>
      <c r="G2" s="2"/>
      <c r="H2" s="2"/>
      <c r="I2" s="6">
        <v>45000.0</v>
      </c>
      <c r="J2" s="7">
        <f>I2*11*0.97</f>
        <v>480150</v>
      </c>
      <c r="L2" s="5"/>
      <c r="M2" s="5"/>
    </row>
    <row r="3" ht="15.75" customHeight="1">
      <c r="A3" s="8"/>
      <c r="B3" s="5"/>
      <c r="C3" s="5"/>
      <c r="D3" s="5"/>
      <c r="E3" s="5"/>
      <c r="F3" s="5"/>
      <c r="G3" s="5"/>
      <c r="H3" s="9"/>
      <c r="I3" s="5"/>
      <c r="J3" s="5"/>
      <c r="K3" s="5"/>
      <c r="L3" s="5"/>
      <c r="M3" s="5"/>
    </row>
    <row r="4" ht="15.75" customHeight="1">
      <c r="A4" s="10" t="s">
        <v>4</v>
      </c>
      <c r="B4" s="11"/>
      <c r="C4" s="11"/>
      <c r="D4" s="11"/>
      <c r="E4" s="11"/>
      <c r="F4" s="11"/>
      <c r="G4" s="11"/>
      <c r="H4" s="11"/>
      <c r="I4" s="12">
        <v>15768.0</v>
      </c>
    </row>
    <row r="5" ht="15.75" customHeight="1">
      <c r="A5" s="13" t="s">
        <v>5</v>
      </c>
      <c r="B5" s="11"/>
      <c r="C5" s="11"/>
      <c r="D5" s="11"/>
      <c r="E5" s="11"/>
      <c r="F5" s="11"/>
      <c r="G5" s="11"/>
      <c r="H5" s="11"/>
      <c r="I5" s="14">
        <f>I4/I2</f>
        <v>0.3504</v>
      </c>
    </row>
    <row r="6" ht="15.75" customHeight="1">
      <c r="I6" s="15"/>
    </row>
    <row r="7" ht="15.75" customHeight="1">
      <c r="A7" s="16" t="s">
        <v>6</v>
      </c>
      <c r="B7" s="16"/>
      <c r="C7" s="16"/>
      <c r="D7" s="16"/>
      <c r="E7" s="16"/>
      <c r="F7" s="16"/>
      <c r="G7" s="16"/>
      <c r="H7" s="16"/>
      <c r="I7" s="16"/>
      <c r="J7" s="17"/>
      <c r="L7" s="18"/>
      <c r="M7" s="18"/>
      <c r="N7" s="18"/>
      <c r="O7" s="18"/>
      <c r="P7" s="18"/>
      <c r="Q7" s="18"/>
      <c r="R7" s="18"/>
    </row>
    <row r="8" ht="15.75" customHeight="1">
      <c r="A8" s="19" t="s">
        <v>7</v>
      </c>
      <c r="B8" s="19" t="s">
        <v>8</v>
      </c>
      <c r="C8" s="20" t="s">
        <v>9</v>
      </c>
      <c r="D8" s="19" t="s">
        <v>10</v>
      </c>
      <c r="E8" s="19" t="s">
        <v>11</v>
      </c>
      <c r="F8" s="19" t="s">
        <v>12</v>
      </c>
      <c r="G8" s="20" t="s">
        <v>13</v>
      </c>
      <c r="H8" s="19" t="s">
        <v>14</v>
      </c>
      <c r="I8" s="20" t="s">
        <v>15</v>
      </c>
      <c r="J8" s="17"/>
      <c r="L8" s="18"/>
      <c r="M8" s="18"/>
      <c r="N8" s="18"/>
      <c r="O8" s="18"/>
      <c r="P8" s="18"/>
      <c r="Q8" s="18"/>
      <c r="R8" s="18"/>
    </row>
    <row r="9" ht="15.75" customHeight="1">
      <c r="A9" s="21" t="s">
        <v>16</v>
      </c>
      <c r="B9" s="22">
        <v>35.0</v>
      </c>
      <c r="C9" s="23" t="str">
        <f t="shared" ref="C9:C12" si="1">IFS(
B9=15,"10-20K",
B9=35,"20-50K",
B9=75,"50-100K",
B9=125,"100-150K"
)</f>
        <v>20-50K</v>
      </c>
      <c r="D9" s="22">
        <v>1.0</v>
      </c>
      <c r="E9" s="18"/>
      <c r="F9" s="24">
        <f t="shared" ref="F9:F18" si="2">G9*0.6</f>
        <v>18</v>
      </c>
      <c r="G9" s="25">
        <f t="shared" ref="G9:G18" si="3">MROUND(B9*0.8,5)</f>
        <v>30</v>
      </c>
      <c r="H9" s="26">
        <f t="shared" ref="H9:H18" si="4">(34*1.15)*1.03</f>
        <v>40.273</v>
      </c>
      <c r="I9" s="27">
        <f t="shared" ref="I9:I18" si="5">G9*H9*D9</f>
        <v>1208.19</v>
      </c>
      <c r="L9" s="18"/>
      <c r="M9" s="28"/>
      <c r="N9" s="28"/>
      <c r="O9" s="9"/>
      <c r="P9" s="29"/>
      <c r="Q9" s="28"/>
      <c r="R9" s="18"/>
    </row>
    <row r="10" ht="15.75" customHeight="1">
      <c r="A10" s="21" t="s">
        <v>16</v>
      </c>
      <c r="B10" s="22">
        <v>35.0</v>
      </c>
      <c r="C10" s="23" t="str">
        <f t="shared" si="1"/>
        <v>20-50K</v>
      </c>
      <c r="D10" s="22">
        <v>1.0</v>
      </c>
      <c r="E10" s="18"/>
      <c r="F10" s="24">
        <f t="shared" si="2"/>
        <v>18</v>
      </c>
      <c r="G10" s="25">
        <f t="shared" si="3"/>
        <v>30</v>
      </c>
      <c r="H10" s="26">
        <f t="shared" si="4"/>
        <v>40.273</v>
      </c>
      <c r="I10" s="27">
        <f t="shared" si="5"/>
        <v>1208.19</v>
      </c>
      <c r="L10" s="18"/>
      <c r="M10" s="30"/>
      <c r="N10" s="30"/>
      <c r="O10" s="31"/>
      <c r="P10" s="29"/>
      <c r="Q10" s="29"/>
      <c r="R10" s="18"/>
    </row>
    <row r="11" ht="15.75" customHeight="1">
      <c r="A11" s="32" t="s">
        <v>16</v>
      </c>
      <c r="B11" s="22">
        <v>35.0</v>
      </c>
      <c r="C11" s="23" t="str">
        <f t="shared" si="1"/>
        <v>20-50K</v>
      </c>
      <c r="D11" s="32">
        <v>1.0</v>
      </c>
      <c r="E11" s="28"/>
      <c r="F11" s="24">
        <f t="shared" si="2"/>
        <v>18</v>
      </c>
      <c r="G11" s="25">
        <f t="shared" si="3"/>
        <v>30</v>
      </c>
      <c r="H11" s="26">
        <f t="shared" si="4"/>
        <v>40.273</v>
      </c>
      <c r="I11" s="27">
        <f t="shared" si="5"/>
        <v>1208.19</v>
      </c>
      <c r="J11" s="33"/>
      <c r="K11" s="5"/>
      <c r="L11" s="28"/>
      <c r="M11" s="34"/>
      <c r="N11" s="34"/>
      <c r="O11" s="9"/>
      <c r="P11" s="28"/>
      <c r="Q11" s="28"/>
      <c r="R11" s="28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15.75" customHeight="1">
      <c r="A12" s="21" t="s">
        <v>16</v>
      </c>
      <c r="B12" s="22">
        <v>75.0</v>
      </c>
      <c r="C12" s="23" t="str">
        <f t="shared" si="1"/>
        <v>50-100K</v>
      </c>
      <c r="D12" s="22">
        <v>1.0</v>
      </c>
      <c r="E12" s="18"/>
      <c r="F12" s="24">
        <f t="shared" si="2"/>
        <v>36</v>
      </c>
      <c r="G12" s="25">
        <f t="shared" si="3"/>
        <v>60</v>
      </c>
      <c r="H12" s="26">
        <f t="shared" si="4"/>
        <v>40.273</v>
      </c>
      <c r="I12" s="27">
        <f t="shared" si="5"/>
        <v>2416.38</v>
      </c>
      <c r="L12" s="18"/>
      <c r="M12" s="30"/>
      <c r="N12" s="30"/>
      <c r="O12" s="31"/>
      <c r="P12" s="29"/>
      <c r="Q12" s="29"/>
      <c r="R12" s="18"/>
    </row>
    <row r="13" ht="15.75" customHeight="1">
      <c r="A13" s="21" t="s">
        <v>16</v>
      </c>
      <c r="B13" s="22">
        <v>75.0</v>
      </c>
      <c r="C13" s="23" t="str">
        <f t="shared" ref="C13:C14" si="6">IFS(
B12=15,"10-20K",
B12=35,"20-50K",
B12=75,"50-100K",
B12=125,"100-150K"
)</f>
        <v>50-100K</v>
      </c>
      <c r="D13" s="22">
        <v>1.0</v>
      </c>
      <c r="E13" s="18"/>
      <c r="F13" s="24">
        <f t="shared" si="2"/>
        <v>36</v>
      </c>
      <c r="G13" s="25">
        <f t="shared" si="3"/>
        <v>60</v>
      </c>
      <c r="H13" s="26">
        <f t="shared" si="4"/>
        <v>40.273</v>
      </c>
      <c r="I13" s="27">
        <f t="shared" si="5"/>
        <v>2416.38</v>
      </c>
      <c r="L13" s="18"/>
      <c r="M13" s="34"/>
      <c r="N13" s="30"/>
      <c r="O13" s="9"/>
      <c r="P13" s="29"/>
      <c r="Q13" s="28"/>
      <c r="R13" s="18"/>
    </row>
    <row r="14" ht="15.75" customHeight="1">
      <c r="A14" s="32" t="s">
        <v>16</v>
      </c>
      <c r="B14" s="32">
        <v>75.0</v>
      </c>
      <c r="C14" s="23" t="str">
        <f t="shared" si="6"/>
        <v>50-100K</v>
      </c>
      <c r="D14" s="32">
        <v>1.0</v>
      </c>
      <c r="E14" s="28"/>
      <c r="F14" s="36">
        <f t="shared" si="2"/>
        <v>36</v>
      </c>
      <c r="G14" s="25">
        <f t="shared" si="3"/>
        <v>60</v>
      </c>
      <c r="H14" s="26">
        <f t="shared" si="4"/>
        <v>40.273</v>
      </c>
      <c r="I14" s="27">
        <f t="shared" si="5"/>
        <v>2416.38</v>
      </c>
      <c r="J14" s="33"/>
      <c r="K14" s="5"/>
      <c r="L14" s="28"/>
      <c r="M14" s="34"/>
      <c r="N14" s="34"/>
      <c r="O14" s="9"/>
      <c r="P14" s="28"/>
      <c r="Q14" s="28"/>
      <c r="R14" s="28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15.75" customHeight="1">
      <c r="A15" s="32" t="s">
        <v>16</v>
      </c>
      <c r="B15" s="21">
        <v>75.0</v>
      </c>
      <c r="C15" s="23" t="str">
        <f t="shared" ref="C15:C17" si="7">IFS(
B15=15,"10-20K",
B15=35,"20-50K",
B15=75,"50-100K",
B15=125,"100-150K"
)</f>
        <v>50-100K</v>
      </c>
      <c r="D15" s="32">
        <v>1.0</v>
      </c>
      <c r="E15" s="28"/>
      <c r="F15" s="36">
        <f t="shared" si="2"/>
        <v>36</v>
      </c>
      <c r="G15" s="25">
        <f t="shared" si="3"/>
        <v>60</v>
      </c>
      <c r="H15" s="26">
        <f t="shared" si="4"/>
        <v>40.273</v>
      </c>
      <c r="I15" s="27">
        <f t="shared" si="5"/>
        <v>2416.38</v>
      </c>
      <c r="J15" s="33"/>
      <c r="K15" s="5"/>
      <c r="L15" s="28"/>
      <c r="M15" s="28"/>
      <c r="N15" s="28"/>
      <c r="O15" s="28"/>
      <c r="P15" s="28"/>
      <c r="Q15" s="28"/>
      <c r="R15" s="28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15.75" customHeight="1">
      <c r="A16" s="32" t="s">
        <v>16</v>
      </c>
      <c r="B16" s="22">
        <v>125.0</v>
      </c>
      <c r="C16" s="23" t="str">
        <f t="shared" si="7"/>
        <v>100-150K</v>
      </c>
      <c r="D16" s="32">
        <v>1.0</v>
      </c>
      <c r="E16" s="28"/>
      <c r="F16" s="36">
        <f t="shared" si="2"/>
        <v>60</v>
      </c>
      <c r="G16" s="25">
        <f t="shared" si="3"/>
        <v>100</v>
      </c>
      <c r="H16" s="26">
        <f t="shared" si="4"/>
        <v>40.273</v>
      </c>
      <c r="I16" s="27">
        <f t="shared" si="5"/>
        <v>4027.3</v>
      </c>
      <c r="J16" s="33"/>
      <c r="K16" s="5"/>
      <c r="L16" s="28"/>
      <c r="M16" s="28"/>
      <c r="N16" s="28"/>
      <c r="O16" s="9"/>
      <c r="P16" s="28"/>
      <c r="Q16" s="28"/>
      <c r="R16" s="28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15.75" customHeight="1">
      <c r="A17" s="32" t="s">
        <v>16</v>
      </c>
      <c r="B17" s="32">
        <v>125.0</v>
      </c>
      <c r="C17" s="23" t="str">
        <f t="shared" si="7"/>
        <v>100-150K</v>
      </c>
      <c r="D17" s="32">
        <v>1.0</v>
      </c>
      <c r="E17" s="28"/>
      <c r="F17" s="36">
        <f t="shared" si="2"/>
        <v>60</v>
      </c>
      <c r="G17" s="25">
        <f t="shared" si="3"/>
        <v>100</v>
      </c>
      <c r="H17" s="26">
        <f t="shared" si="4"/>
        <v>40.273</v>
      </c>
      <c r="I17" s="27">
        <f t="shared" si="5"/>
        <v>4027.3</v>
      </c>
      <c r="J17" s="33"/>
      <c r="K17" s="5"/>
      <c r="L17" s="28"/>
      <c r="M17" s="34"/>
      <c r="N17" s="34"/>
      <c r="O17" s="9"/>
      <c r="P17" s="28"/>
      <c r="Q17" s="28"/>
      <c r="R17" s="28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15.75" customHeight="1">
      <c r="A18" s="32" t="s">
        <v>16</v>
      </c>
      <c r="B18" s="32">
        <v>175.0</v>
      </c>
      <c r="C18" s="23" t="str">
        <f>IFS(
B18=15,"10-20K",
B18=35,"20-50K",
B18=75,"50-100K",
B18=125,"100-150K",
B18=175,"150-200K"
)</f>
        <v>150-200K</v>
      </c>
      <c r="D18" s="32">
        <v>1.0</v>
      </c>
      <c r="E18" s="28"/>
      <c r="F18" s="36">
        <f t="shared" si="2"/>
        <v>84</v>
      </c>
      <c r="G18" s="25">
        <f t="shared" si="3"/>
        <v>140</v>
      </c>
      <c r="H18" s="26">
        <f t="shared" si="4"/>
        <v>40.273</v>
      </c>
      <c r="I18" s="27">
        <f t="shared" si="5"/>
        <v>5638.22</v>
      </c>
      <c r="J18" s="33"/>
      <c r="K18" s="5"/>
      <c r="L18" s="28"/>
      <c r="M18" s="28"/>
      <c r="N18" s="28"/>
      <c r="O18" s="28"/>
      <c r="P18" s="28"/>
      <c r="Q18" s="28"/>
      <c r="R18" s="28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5.75" customHeight="1">
      <c r="A19" s="16" t="str">
        <f>"Total Profiles: "&amp;ROWS(A9:A18)*COLUMNS(A1:A97)</f>
        <v>Total Profiles: 10</v>
      </c>
      <c r="B19" s="16"/>
      <c r="C19" s="16"/>
      <c r="D19" s="16">
        <f>SUM(D8:D18)</f>
        <v>10</v>
      </c>
      <c r="E19" s="16"/>
      <c r="F19" s="16">
        <f>sum(F9:F18)</f>
        <v>402</v>
      </c>
      <c r="G19" s="16">
        <f>SUM(G9:G18)</f>
        <v>670</v>
      </c>
      <c r="H19" s="16"/>
      <c r="I19" s="37">
        <f>sum(I9:I18)</f>
        <v>26982.91</v>
      </c>
      <c r="J19" s="38" t="s">
        <v>17</v>
      </c>
      <c r="K19" s="5"/>
      <c r="L19" s="28"/>
      <c r="M19" s="28"/>
      <c r="N19" s="18"/>
      <c r="O19" s="18"/>
      <c r="P19" s="18"/>
      <c r="Q19" s="18"/>
      <c r="R19" s="18"/>
    </row>
    <row r="20" ht="15.75" customHeight="1">
      <c r="A20" s="39" t="str">
        <f>"Total Tiktok: "&amp;COUNTIF(A9:A18,"*tiktok*")</f>
        <v>Total Tiktok: 10</v>
      </c>
      <c r="I20" s="40">
        <f>J20*0.925</f>
        <v>27039.6</v>
      </c>
      <c r="J20" s="41">
        <f>I2-I4</f>
        <v>29232</v>
      </c>
      <c r="K20" s="5"/>
      <c r="L20" s="28"/>
      <c r="M20" s="28"/>
      <c r="N20" s="18"/>
      <c r="O20" s="18"/>
      <c r="P20" s="18"/>
      <c r="Q20" s="18"/>
      <c r="R20" s="18"/>
    </row>
    <row r="21" ht="15.75" customHeight="1">
      <c r="A21" s="39" t="str">
        <f>"Total Instagram: "&amp;COUNTIF(A9:A18,"*instagram*")</f>
        <v>Total Instagram: 0</v>
      </c>
      <c r="H21" s="42" t="s">
        <v>18</v>
      </c>
      <c r="I21" s="43">
        <f>ROUNDUP(I20-I19,0)</f>
        <v>57</v>
      </c>
    </row>
    <row r="22" ht="15.75" customHeight="1"/>
    <row r="23" ht="15.75" customHeight="1">
      <c r="A23" s="44" t="s">
        <v>19</v>
      </c>
      <c r="B23" s="44"/>
      <c r="C23" s="44"/>
      <c r="D23" s="44"/>
      <c r="E23" s="44"/>
      <c r="F23" s="44"/>
      <c r="G23" s="45"/>
      <c r="H23" s="45"/>
      <c r="I23" s="46"/>
      <c r="K23" s="5"/>
      <c r="L23" s="5"/>
      <c r="M23" s="5"/>
    </row>
    <row r="24" ht="15.75" customHeight="1">
      <c r="A24" s="44"/>
      <c r="B24" s="44"/>
      <c r="C24" s="44"/>
      <c r="D24" s="44"/>
      <c r="E24" s="44"/>
      <c r="F24" s="45" t="s">
        <v>20</v>
      </c>
      <c r="G24" s="45" t="s">
        <v>21</v>
      </c>
      <c r="H24" s="45" t="s">
        <v>22</v>
      </c>
      <c r="I24" s="46"/>
      <c r="K24" s="5"/>
      <c r="L24" s="5"/>
      <c r="M24" s="5"/>
    </row>
    <row r="25" ht="15.75" customHeight="1">
      <c r="A25" s="44"/>
      <c r="B25" s="44"/>
      <c r="C25" s="44"/>
      <c r="D25" s="44"/>
      <c r="E25" s="44"/>
      <c r="F25" s="44">
        <f t="shared" ref="F25:G25" si="8">F19*1000</f>
        <v>402000</v>
      </c>
      <c r="G25" s="47">
        <f t="shared" si="8"/>
        <v>670000</v>
      </c>
      <c r="H25" s="48">
        <f>(I2/G25)*1000</f>
        <v>67.1641791</v>
      </c>
      <c r="I25" s="46"/>
      <c r="K25" s="5"/>
      <c r="L25" s="5"/>
      <c r="M25" s="5"/>
    </row>
    <row r="26" ht="15.75" customHeight="1">
      <c r="A26" s="8"/>
      <c r="B26" s="5"/>
      <c r="C26" s="5"/>
      <c r="D26" s="5"/>
      <c r="E26" s="5"/>
      <c r="F26" s="5"/>
      <c r="G26" s="5"/>
      <c r="H26" s="49"/>
      <c r="I26" s="50"/>
      <c r="J26" s="5"/>
      <c r="K26" s="5"/>
      <c r="L26" s="5"/>
      <c r="M26" s="5"/>
    </row>
    <row r="27" ht="15.75" customHeight="1">
      <c r="A27" s="5"/>
      <c r="B27" s="51"/>
      <c r="C27" s="51"/>
      <c r="D27" s="51"/>
      <c r="E27" s="51"/>
      <c r="F27" s="5"/>
      <c r="G27" s="5"/>
      <c r="H27" s="5"/>
      <c r="I27" s="5"/>
      <c r="J27" s="5"/>
      <c r="K27" s="5"/>
      <c r="L27" s="5"/>
      <c r="M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5.75" customHeight="1">
      <c r="A29" s="52" t="s">
        <v>23</v>
      </c>
      <c r="B29" s="53"/>
      <c r="C29" s="53"/>
      <c r="D29" s="53"/>
      <c r="E29" s="53"/>
      <c r="F29" s="53"/>
      <c r="G29" s="53"/>
      <c r="H29" s="53"/>
      <c r="I29" s="52">
        <v>7000.0</v>
      </c>
    </row>
    <row r="30" ht="15.75" customHeight="1">
      <c r="A30" s="54" t="s">
        <v>5</v>
      </c>
      <c r="B30" s="53"/>
      <c r="C30" s="53"/>
      <c r="D30" s="53"/>
      <c r="E30" s="53"/>
      <c r="F30" s="53"/>
      <c r="G30" s="53"/>
      <c r="H30" s="53"/>
      <c r="I30" s="55">
        <f>I29/I2</f>
        <v>0.1555555556</v>
      </c>
    </row>
    <row r="31" ht="15.75" customHeight="1">
      <c r="A31" s="53"/>
      <c r="B31" s="56" t="s">
        <v>24</v>
      </c>
      <c r="C31" s="56"/>
      <c r="D31" s="56" t="s">
        <v>25</v>
      </c>
      <c r="E31" s="56" t="s">
        <v>26</v>
      </c>
      <c r="F31" s="56" t="s">
        <v>20</v>
      </c>
      <c r="G31" s="56" t="s">
        <v>21</v>
      </c>
      <c r="H31" s="56" t="s">
        <v>27</v>
      </c>
      <c r="I31" s="53"/>
      <c r="L31" s="18"/>
      <c r="M31" s="18"/>
      <c r="N31" s="18"/>
      <c r="O31" s="18"/>
      <c r="P31" s="18"/>
      <c r="Q31" s="18"/>
      <c r="R31" s="18"/>
    </row>
    <row r="32" ht="15.75" customHeight="1">
      <c r="A32" s="22" t="s">
        <v>4</v>
      </c>
      <c r="B32" s="22"/>
      <c r="C32" s="25"/>
      <c r="D32" s="26"/>
      <c r="E32" s="24"/>
      <c r="F32" s="24"/>
      <c r="G32" s="24"/>
      <c r="H32" s="24"/>
      <c r="I32" s="27">
        <f>8*96</f>
        <v>768</v>
      </c>
      <c r="J32" s="21" t="s">
        <v>28</v>
      </c>
      <c r="L32" s="18"/>
      <c r="M32" s="18"/>
      <c r="N32" s="18"/>
      <c r="O32" s="18"/>
      <c r="P32" s="18"/>
      <c r="Q32" s="18"/>
      <c r="R32" s="18"/>
    </row>
    <row r="33" ht="15.75" customHeight="1">
      <c r="A33" s="22" t="s">
        <v>29</v>
      </c>
      <c r="B33" s="22">
        <v>8.0</v>
      </c>
      <c r="C33" s="25"/>
      <c r="D33" s="26">
        <v>220.0</v>
      </c>
      <c r="E33" s="24"/>
      <c r="F33" s="24"/>
      <c r="G33" s="24"/>
      <c r="H33" s="24"/>
      <c r="I33" s="27">
        <f>B33*D33</f>
        <v>1760</v>
      </c>
      <c r="L33" s="18"/>
      <c r="M33" s="18"/>
      <c r="N33" s="18"/>
      <c r="O33" s="18"/>
      <c r="P33" s="18"/>
      <c r="Q33" s="18"/>
      <c r="R33" s="18"/>
    </row>
    <row r="34" ht="15.75" customHeight="1">
      <c r="A34" s="25" t="s">
        <v>30</v>
      </c>
      <c r="B34" s="24"/>
      <c r="C34" s="24"/>
      <c r="D34" s="24"/>
      <c r="E34" s="25" t="s">
        <v>31</v>
      </c>
      <c r="F34" s="57">
        <f t="shared" ref="F34:F36" si="9">G34*0.25</f>
        <v>0</v>
      </c>
      <c r="G34" s="57">
        <f t="shared" ref="G34:G35" si="10">sum(1000*I34)/H34*0.85</f>
        <v>0</v>
      </c>
      <c r="H34" s="58">
        <f>(50*1.18)/11</f>
        <v>5.363636364</v>
      </c>
      <c r="I34" s="59">
        <v>0.0</v>
      </c>
      <c r="J34" s="60">
        <v>0.4</v>
      </c>
      <c r="L34" s="18"/>
      <c r="M34" s="18"/>
      <c r="N34" s="18"/>
      <c r="O34" s="18"/>
      <c r="P34" s="18"/>
      <c r="Q34" s="18"/>
      <c r="R34" s="18"/>
    </row>
    <row r="35" ht="15.75" customHeight="1">
      <c r="A35" s="25" t="s">
        <v>32</v>
      </c>
      <c r="B35" s="24"/>
      <c r="C35" s="24"/>
      <c r="D35" s="24"/>
      <c r="E35" s="25" t="s">
        <v>31</v>
      </c>
      <c r="F35" s="57">
        <f t="shared" si="9"/>
        <v>354349.1525</v>
      </c>
      <c r="G35" s="57">
        <f t="shared" si="10"/>
        <v>1417396.61</v>
      </c>
      <c r="H35" s="58">
        <f>(25*1.18)/11</f>
        <v>2.681818182</v>
      </c>
      <c r="I35" s="61">
        <f>(I29-I32-I33)</f>
        <v>4472</v>
      </c>
      <c r="J35" s="62">
        <v>0.6</v>
      </c>
      <c r="L35" s="18"/>
      <c r="M35" s="18"/>
      <c r="N35" s="18"/>
      <c r="O35" s="18"/>
      <c r="P35" s="18"/>
      <c r="Q35" s="18"/>
      <c r="R35" s="18"/>
    </row>
    <row r="36" ht="15.75" customHeight="1">
      <c r="A36" s="53" t="s">
        <v>33</v>
      </c>
      <c r="B36" s="53"/>
      <c r="C36" s="53"/>
      <c r="D36" s="53"/>
      <c r="E36" s="53"/>
      <c r="F36" s="63">
        <f t="shared" si="9"/>
        <v>354.3491525</v>
      </c>
      <c r="G36" s="64">
        <f>sum(G33:G35)/1000</f>
        <v>1417.39661</v>
      </c>
      <c r="H36" s="65"/>
      <c r="I36" s="64">
        <f>sum(I32:I35)</f>
        <v>7000</v>
      </c>
      <c r="J36" s="28"/>
      <c r="L36" s="18"/>
      <c r="M36" s="18"/>
      <c r="N36" s="18"/>
      <c r="O36" s="18"/>
      <c r="P36" s="18"/>
      <c r="Q36" s="18"/>
      <c r="R36" s="18"/>
    </row>
    <row r="37" ht="15.75" customHeight="1">
      <c r="A37" s="56" t="s">
        <v>5</v>
      </c>
      <c r="B37" s="53"/>
      <c r="C37" s="53"/>
      <c r="D37" s="53"/>
      <c r="E37" s="53"/>
      <c r="F37" s="66"/>
      <c r="G37" s="67"/>
      <c r="H37" s="65"/>
      <c r="I37" s="68">
        <f>I36/I2</f>
        <v>0.1555555556</v>
      </c>
      <c r="J37" s="28"/>
      <c r="L37" s="18"/>
      <c r="M37" s="18"/>
      <c r="N37" s="18"/>
      <c r="O37" s="18"/>
      <c r="P37" s="18"/>
      <c r="Q37" s="18"/>
      <c r="R37" s="18"/>
    </row>
    <row r="38" ht="15.75" customHeight="1"/>
    <row r="39" ht="15.75" customHeight="1"/>
    <row r="40" ht="16.5" customHeight="1">
      <c r="A40" s="44" t="s">
        <v>19</v>
      </c>
      <c r="B40" s="44"/>
      <c r="C40" s="44"/>
      <c r="D40" s="44"/>
      <c r="E40" s="44"/>
      <c r="F40" s="44"/>
      <c r="G40" s="45"/>
      <c r="H40" s="45"/>
      <c r="I40" s="46"/>
      <c r="K40" s="5"/>
      <c r="L40" s="5"/>
      <c r="M40" s="5"/>
    </row>
    <row r="41" ht="15.75" customHeight="1">
      <c r="A41" s="44"/>
      <c r="B41" s="44"/>
      <c r="C41" s="44"/>
      <c r="D41" s="44"/>
      <c r="E41" s="44"/>
      <c r="F41" s="45" t="s">
        <v>20</v>
      </c>
      <c r="G41" s="45" t="s">
        <v>21</v>
      </c>
      <c r="H41" s="45" t="s">
        <v>22</v>
      </c>
      <c r="I41" s="46"/>
      <c r="K41" s="5"/>
      <c r="L41" s="5"/>
      <c r="M41" s="5"/>
    </row>
    <row r="42" ht="15.75" customHeight="1">
      <c r="A42" s="44"/>
      <c r="B42" s="44"/>
      <c r="C42" s="44"/>
      <c r="D42" s="44"/>
      <c r="E42" s="44"/>
      <c r="F42" s="44">
        <f>F36*1000</f>
        <v>354349.1525</v>
      </c>
      <c r="G42" s="47">
        <f>(G19+G36)*1000</f>
        <v>2087396.61</v>
      </c>
      <c r="H42" s="48">
        <f>(I19/G42)*1000</f>
        <v>12.92658514</v>
      </c>
      <c r="I42" s="46"/>
      <c r="K42" s="5"/>
      <c r="L42" s="5"/>
      <c r="M42" s="5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I21">
    <cfRule type="expression" dxfId="0" priority="1">
      <formula>IF(I21&gt;0)</formula>
    </cfRule>
  </conditionalFormatting>
  <conditionalFormatting sqref="I21">
    <cfRule type="expression" dxfId="1" priority="2">
      <formula>IF(I21&lt;0)</formula>
    </cfRule>
  </conditionalFormatting>
  <conditionalFormatting sqref="A9:A18">
    <cfRule type="containsText" dxfId="2" priority="3" operator="containsText" text="TikTok">
      <formula>NOT(ISERROR(SEARCH(("TikTok"),(A9))))</formula>
    </cfRule>
  </conditionalFormatting>
  <conditionalFormatting sqref="A9:A18">
    <cfRule type="containsText" dxfId="3" priority="4" operator="containsText" text="Instagram">
      <formula>NOT(ISERROR(SEARCH(("Instagram"),(A9))))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5" width="24.0"/>
    <col customWidth="1" min="6" max="6" width="14.0"/>
    <col customWidth="1" min="7" max="7" width="23.5"/>
    <col customWidth="1" min="8" max="8" width="14.25"/>
    <col customWidth="1" min="9" max="9" width="15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69" t="s">
        <v>1</v>
      </c>
      <c r="J1" s="8" t="s">
        <v>2</v>
      </c>
      <c r="L1" s="18"/>
      <c r="M1" s="18"/>
      <c r="N1" s="18"/>
      <c r="O1" s="18"/>
      <c r="P1" s="18"/>
      <c r="Q1" s="18"/>
      <c r="R1" s="18"/>
    </row>
    <row r="2" ht="15.75" customHeight="1">
      <c r="A2" s="1" t="s">
        <v>3</v>
      </c>
      <c r="B2" s="2"/>
      <c r="C2" s="70"/>
      <c r="D2" s="2"/>
      <c r="E2" s="2"/>
      <c r="F2" s="2"/>
      <c r="G2" s="70"/>
      <c r="H2" s="2"/>
      <c r="I2" s="71">
        <v>45000.0</v>
      </c>
      <c r="J2" s="72">
        <f>I2*11*0.97</f>
        <v>480150</v>
      </c>
      <c r="L2" s="18"/>
      <c r="M2" s="18"/>
      <c r="N2" s="18"/>
      <c r="O2" s="18"/>
      <c r="P2" s="18"/>
      <c r="Q2" s="18"/>
      <c r="R2" s="18"/>
    </row>
    <row r="3" ht="15.75" customHeight="1">
      <c r="A3" s="73"/>
      <c r="B3" s="73"/>
      <c r="C3" s="5"/>
      <c r="D3" s="73"/>
      <c r="E3" s="5"/>
      <c r="F3" s="5"/>
      <c r="G3" s="5"/>
      <c r="H3" s="9"/>
      <c r="I3" s="74"/>
      <c r="J3" s="33"/>
      <c r="L3" s="18"/>
      <c r="M3" s="28"/>
      <c r="N3" s="28"/>
      <c r="O3" s="9"/>
      <c r="P3" s="29"/>
      <c r="Q3" s="28"/>
      <c r="R3" s="18"/>
    </row>
    <row r="4" ht="15.75" customHeight="1">
      <c r="A4" s="75" t="s">
        <v>4</v>
      </c>
      <c r="B4" s="76"/>
      <c r="C4" s="77"/>
      <c r="D4" s="76"/>
      <c r="E4" s="77"/>
      <c r="F4" s="77"/>
      <c r="G4" s="77"/>
      <c r="H4" s="78"/>
      <c r="I4" s="79">
        <v>15768.0</v>
      </c>
      <c r="J4" s="33"/>
      <c r="L4" s="18"/>
      <c r="M4" s="30"/>
      <c r="N4" s="30"/>
      <c r="O4" s="31"/>
      <c r="P4" s="29"/>
      <c r="Q4" s="29"/>
      <c r="R4" s="18"/>
    </row>
    <row r="5" ht="15.75" customHeight="1">
      <c r="A5" s="80" t="s">
        <v>5</v>
      </c>
      <c r="B5" s="76"/>
      <c r="C5" s="77"/>
      <c r="D5" s="76"/>
      <c r="E5" s="77"/>
      <c r="F5" s="77"/>
      <c r="G5" s="77"/>
      <c r="H5" s="78"/>
      <c r="I5" s="81">
        <f>I4/I2</f>
        <v>0.3504</v>
      </c>
      <c r="J5" s="33"/>
      <c r="K5" s="5"/>
      <c r="L5" s="28"/>
      <c r="M5" s="34"/>
      <c r="N5" s="34"/>
      <c r="O5" s="9"/>
      <c r="P5" s="28"/>
      <c r="Q5" s="28"/>
      <c r="R5" s="28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15.75" customHeight="1">
      <c r="A6" s="73"/>
      <c r="B6" s="73"/>
      <c r="C6" s="5"/>
      <c r="D6" s="73"/>
      <c r="E6" s="5"/>
      <c r="F6" s="5"/>
      <c r="G6" s="5"/>
      <c r="H6" s="74"/>
      <c r="I6" s="82"/>
      <c r="J6" s="33"/>
      <c r="L6" s="18"/>
      <c r="M6" s="30"/>
      <c r="N6" s="30"/>
      <c r="O6" s="31"/>
      <c r="P6" s="29"/>
      <c r="Q6" s="29"/>
      <c r="R6" s="18"/>
    </row>
    <row r="7" ht="15.75" customHeight="1">
      <c r="A7" s="83" t="s">
        <v>6</v>
      </c>
      <c r="B7" s="84"/>
      <c r="C7" s="85"/>
      <c r="D7" s="84"/>
      <c r="E7" s="85"/>
      <c r="F7" s="85"/>
      <c r="G7" s="85"/>
      <c r="H7" s="86"/>
      <c r="I7" s="86"/>
      <c r="J7" s="33"/>
      <c r="L7" s="18"/>
      <c r="M7" s="34"/>
      <c r="N7" s="30"/>
      <c r="O7" s="9"/>
      <c r="P7" s="29"/>
      <c r="Q7" s="28"/>
      <c r="R7" s="18"/>
    </row>
    <row r="8" ht="15.75" customHeight="1">
      <c r="A8" s="87" t="s">
        <v>7</v>
      </c>
      <c r="B8" s="87" t="s">
        <v>8</v>
      </c>
      <c r="C8" s="88" t="s">
        <v>9</v>
      </c>
      <c r="D8" s="87" t="s">
        <v>10</v>
      </c>
      <c r="E8" s="88" t="s">
        <v>11</v>
      </c>
      <c r="F8" s="88" t="s">
        <v>12</v>
      </c>
      <c r="G8" s="88" t="s">
        <v>13</v>
      </c>
      <c r="H8" s="89" t="s">
        <v>14</v>
      </c>
      <c r="I8" s="89" t="s">
        <v>15</v>
      </c>
      <c r="J8" s="33"/>
      <c r="K8" s="5"/>
      <c r="L8" s="28"/>
      <c r="M8" s="34"/>
      <c r="N8" s="34"/>
      <c r="O8" s="9"/>
      <c r="P8" s="28"/>
      <c r="Q8" s="28"/>
      <c r="R8" s="28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15.75" customHeight="1">
      <c r="A9" s="90" t="s">
        <v>16</v>
      </c>
      <c r="B9" s="91">
        <v>35.0</v>
      </c>
      <c r="C9" s="50" t="str">
        <f t="shared" ref="C9:C11" si="1">IFS(
B9=15,"10-20K",
B9=35,"20-50K",
B9=75,"50-100K",
B9=125,"100-150K"
)</f>
        <v>20-50K</v>
      </c>
      <c r="D9" s="91">
        <v>1.0</v>
      </c>
      <c r="E9" s="28"/>
      <c r="F9" s="36">
        <f t="shared" ref="F9:F18" si="2">G9*0.6</f>
        <v>18</v>
      </c>
      <c r="G9" s="50">
        <f t="shared" ref="G9:G18" si="3">MROUND(B9*0.8,5)</f>
        <v>30</v>
      </c>
      <c r="H9" s="61">
        <f t="shared" ref="H9:H18" si="4">(34*1.15)*1.03</f>
        <v>40.273</v>
      </c>
      <c r="I9" s="57">
        <f t="shared" ref="I9:I18" si="5">G9*H9*D9</f>
        <v>1208.19</v>
      </c>
      <c r="J9" s="33"/>
      <c r="K9" s="5"/>
      <c r="L9" s="28"/>
      <c r="M9" s="28"/>
      <c r="N9" s="28"/>
      <c r="O9" s="28"/>
      <c r="P9" s="28"/>
      <c r="Q9" s="28"/>
      <c r="R9" s="28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15.75" customHeight="1">
      <c r="A10" s="90" t="s">
        <v>16</v>
      </c>
      <c r="B10" s="91">
        <v>35.0</v>
      </c>
      <c r="C10" s="50" t="str">
        <f t="shared" si="1"/>
        <v>20-50K</v>
      </c>
      <c r="D10" s="91">
        <v>1.0</v>
      </c>
      <c r="E10" s="28"/>
      <c r="F10" s="36">
        <f t="shared" si="2"/>
        <v>18</v>
      </c>
      <c r="G10" s="50">
        <f t="shared" si="3"/>
        <v>30</v>
      </c>
      <c r="H10" s="61">
        <f t="shared" si="4"/>
        <v>40.273</v>
      </c>
      <c r="I10" s="57">
        <f t="shared" si="5"/>
        <v>1208.19</v>
      </c>
      <c r="J10" s="33"/>
      <c r="K10" s="5"/>
      <c r="L10" s="28"/>
      <c r="M10" s="28"/>
      <c r="N10" s="28"/>
      <c r="O10" s="9"/>
      <c r="P10" s="28"/>
      <c r="Q10" s="28"/>
      <c r="R10" s="28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15.75" customHeight="1">
      <c r="A11" s="90" t="s">
        <v>16</v>
      </c>
      <c r="B11" s="91">
        <v>35.0</v>
      </c>
      <c r="C11" s="50" t="str">
        <f t="shared" si="1"/>
        <v>20-50K</v>
      </c>
      <c r="D11" s="91">
        <v>1.0</v>
      </c>
      <c r="E11" s="28"/>
      <c r="F11" s="36">
        <f t="shared" si="2"/>
        <v>18</v>
      </c>
      <c r="G11" s="50">
        <f t="shared" si="3"/>
        <v>30</v>
      </c>
      <c r="H11" s="61">
        <f t="shared" si="4"/>
        <v>40.273</v>
      </c>
      <c r="I11" s="57">
        <f t="shared" si="5"/>
        <v>1208.19</v>
      </c>
      <c r="J11" s="33"/>
      <c r="K11" s="5"/>
      <c r="L11" s="28"/>
      <c r="M11" s="34"/>
      <c r="N11" s="34"/>
      <c r="O11" s="9"/>
      <c r="P11" s="28"/>
      <c r="Q11" s="28"/>
      <c r="R11" s="28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15.75" customHeight="1">
      <c r="A12" s="90" t="s">
        <v>16</v>
      </c>
      <c r="B12" s="91">
        <v>75.0</v>
      </c>
      <c r="C12" s="50" t="str">
        <f t="shared" ref="C12:C14" si="6">IFS(
B11=15,"10-20K",
B11=35,"20-50K",
B11=75,"50-100K",
B11=125,"100-150K"
)</f>
        <v>20-50K</v>
      </c>
      <c r="D12" s="91">
        <v>1.0</v>
      </c>
      <c r="E12" s="28"/>
      <c r="F12" s="36">
        <f t="shared" si="2"/>
        <v>36</v>
      </c>
      <c r="G12" s="50">
        <f t="shared" si="3"/>
        <v>60</v>
      </c>
      <c r="H12" s="61">
        <f t="shared" si="4"/>
        <v>40.273</v>
      </c>
      <c r="I12" s="57">
        <f t="shared" si="5"/>
        <v>2416.38</v>
      </c>
      <c r="J12" s="33"/>
      <c r="K12" s="5"/>
      <c r="L12" s="28"/>
      <c r="M12" s="28"/>
      <c r="N12" s="28"/>
      <c r="O12" s="28"/>
      <c r="P12" s="28"/>
      <c r="Q12" s="28"/>
      <c r="R12" s="28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15.75" customHeight="1">
      <c r="A13" s="90" t="s">
        <v>16</v>
      </c>
      <c r="B13" s="50">
        <v>75.0</v>
      </c>
      <c r="C13" s="50" t="str">
        <f t="shared" si="6"/>
        <v>50-100K</v>
      </c>
      <c r="D13" s="50">
        <v>1.0</v>
      </c>
      <c r="E13" s="28"/>
      <c r="F13" s="36">
        <f t="shared" si="2"/>
        <v>36</v>
      </c>
      <c r="G13" s="50">
        <f t="shared" si="3"/>
        <v>60</v>
      </c>
      <c r="H13" s="61">
        <f t="shared" si="4"/>
        <v>40.273</v>
      </c>
      <c r="I13" s="57">
        <f t="shared" si="5"/>
        <v>2416.38</v>
      </c>
      <c r="J13" s="5"/>
      <c r="K13" s="5"/>
      <c r="L13" s="28"/>
      <c r="M13" s="28"/>
      <c r="N13" s="18"/>
      <c r="O13" s="18"/>
      <c r="P13" s="18"/>
      <c r="Q13" s="18"/>
      <c r="R13" s="18"/>
    </row>
    <row r="14" ht="15.75" customHeight="1">
      <c r="A14" s="92" t="s">
        <v>16</v>
      </c>
      <c r="B14" s="93">
        <v>75.0</v>
      </c>
      <c r="C14" s="93" t="str">
        <f t="shared" si="6"/>
        <v>50-100K</v>
      </c>
      <c r="D14" s="93">
        <v>1.0</v>
      </c>
      <c r="E14" s="94"/>
      <c r="F14" s="95">
        <f t="shared" si="2"/>
        <v>36</v>
      </c>
      <c r="G14" s="93">
        <f t="shared" si="3"/>
        <v>60</v>
      </c>
      <c r="H14" s="61">
        <f t="shared" si="4"/>
        <v>40.273</v>
      </c>
      <c r="I14" s="57">
        <f t="shared" si="5"/>
        <v>2416.38</v>
      </c>
      <c r="J14" s="5"/>
      <c r="K14" s="5"/>
      <c r="L14" s="28"/>
      <c r="M14" s="28"/>
      <c r="N14" s="18"/>
      <c r="O14" s="18"/>
      <c r="P14" s="18"/>
      <c r="Q14" s="18"/>
      <c r="R14" s="18"/>
    </row>
    <row r="15" ht="15.75" customHeight="1">
      <c r="A15" s="92" t="s">
        <v>16</v>
      </c>
      <c r="B15" s="93">
        <v>75.0</v>
      </c>
      <c r="C15" s="93" t="str">
        <f t="shared" ref="C15:C17" si="7">IFS(
B15=15,"10-20K",
B15=35,"20-50K",
B15=75,"50-100K",
B15=125,"100-150K"
)</f>
        <v>50-100K</v>
      </c>
      <c r="D15" s="93">
        <v>1.0</v>
      </c>
      <c r="E15" s="94"/>
      <c r="F15" s="95">
        <f t="shared" si="2"/>
        <v>36</v>
      </c>
      <c r="G15" s="93">
        <f t="shared" si="3"/>
        <v>60</v>
      </c>
      <c r="H15" s="61">
        <f t="shared" si="4"/>
        <v>40.273</v>
      </c>
      <c r="I15" s="57">
        <f t="shared" si="5"/>
        <v>2416.38</v>
      </c>
      <c r="J15" s="33"/>
    </row>
    <row r="16" ht="15.75" customHeight="1">
      <c r="A16" s="92" t="s">
        <v>16</v>
      </c>
      <c r="B16" s="93">
        <v>125.0</v>
      </c>
      <c r="C16" s="93" t="str">
        <f t="shared" si="7"/>
        <v>100-150K</v>
      </c>
      <c r="D16" s="93">
        <v>1.0</v>
      </c>
      <c r="E16" s="94"/>
      <c r="F16" s="95">
        <f t="shared" si="2"/>
        <v>60</v>
      </c>
      <c r="G16" s="93">
        <f t="shared" si="3"/>
        <v>100</v>
      </c>
      <c r="H16" s="61">
        <f t="shared" si="4"/>
        <v>40.273</v>
      </c>
      <c r="I16" s="57">
        <f t="shared" si="5"/>
        <v>4027.3</v>
      </c>
      <c r="J16" s="33"/>
    </row>
    <row r="17" ht="15.75" customHeight="1">
      <c r="A17" s="96" t="s">
        <v>16</v>
      </c>
      <c r="B17" s="50">
        <v>125.0</v>
      </c>
      <c r="C17" s="50" t="str">
        <f t="shared" si="7"/>
        <v>100-150K</v>
      </c>
      <c r="D17" s="50">
        <v>1.0</v>
      </c>
      <c r="E17" s="28"/>
      <c r="F17" s="36">
        <f t="shared" si="2"/>
        <v>60</v>
      </c>
      <c r="G17" s="50">
        <f t="shared" si="3"/>
        <v>100</v>
      </c>
      <c r="H17" s="61">
        <f t="shared" si="4"/>
        <v>40.273</v>
      </c>
      <c r="I17" s="57">
        <f t="shared" si="5"/>
        <v>4027.3</v>
      </c>
      <c r="J17" s="33"/>
      <c r="K17" s="5"/>
      <c r="L17" s="5"/>
      <c r="M17" s="5"/>
    </row>
    <row r="18" ht="15.75" customHeight="1">
      <c r="A18" s="96" t="s">
        <v>16</v>
      </c>
      <c r="B18" s="50">
        <v>175.0</v>
      </c>
      <c r="C18" s="50" t="str">
        <f>IFS(
B18=15,"10-20K",
B18=35,"20-50K",
B18=75,"50-100K",
B18=125,"100-150K",
B18=175,"150-200K"
)</f>
        <v>150-200K</v>
      </c>
      <c r="D18" s="50">
        <v>1.0</v>
      </c>
      <c r="E18" s="28"/>
      <c r="F18" s="36">
        <f t="shared" si="2"/>
        <v>84</v>
      </c>
      <c r="G18" s="50">
        <f t="shared" si="3"/>
        <v>140</v>
      </c>
      <c r="H18" s="61">
        <f t="shared" si="4"/>
        <v>40.273</v>
      </c>
      <c r="I18" s="57">
        <f t="shared" si="5"/>
        <v>5638.22</v>
      </c>
      <c r="J18" s="33"/>
      <c r="K18" s="5"/>
      <c r="L18" s="5"/>
      <c r="M18" s="5"/>
    </row>
    <row r="19" ht="15.75" customHeight="1">
      <c r="A19" s="97" t="str">
        <f>"Total Profiles: "&amp;ROWS(A9:A18)*COLUMNS(A1:A97)</f>
        <v>Total Profiles: 10</v>
      </c>
      <c r="B19" s="85"/>
      <c r="C19" s="85"/>
      <c r="D19" s="98">
        <f>SUM(D8:D18)</f>
        <v>10</v>
      </c>
      <c r="E19" s="85"/>
      <c r="F19" s="98">
        <f>sum(F9:F18)</f>
        <v>402</v>
      </c>
      <c r="G19" s="98">
        <f>SUM(G9:G18)</f>
        <v>670</v>
      </c>
      <c r="H19" s="86"/>
      <c r="I19" s="99">
        <f>sum(I9:I18)</f>
        <v>26982.91</v>
      </c>
      <c r="J19" s="100" t="s">
        <v>17</v>
      </c>
      <c r="K19" s="5"/>
      <c r="L19" s="5"/>
      <c r="M19" s="5"/>
    </row>
    <row r="20" ht="15.75" customHeight="1">
      <c r="A20" s="5" t="str">
        <f>"Total Tiktok: "&amp;COUNTIF(A9:A18,"*tiktok*")</f>
        <v>Total Tiktok: 10</v>
      </c>
      <c r="B20" s="5"/>
      <c r="C20" s="5"/>
      <c r="D20" s="5"/>
      <c r="E20" s="5"/>
      <c r="F20" s="5"/>
      <c r="G20" s="5"/>
      <c r="H20" s="5"/>
      <c r="I20" s="101">
        <f>J20*0.925</f>
        <v>27039.6</v>
      </c>
      <c r="J20" s="102">
        <f>I2-I4</f>
        <v>29232</v>
      </c>
      <c r="K20" s="5"/>
      <c r="L20" s="5"/>
      <c r="M20" s="5"/>
    </row>
    <row r="21" ht="15.75" customHeight="1">
      <c r="A21" s="5" t="str">
        <f>"Total Instagram: "&amp;COUNTIF(A9:A18,"*instagram*")</f>
        <v>Total Instagram: 0</v>
      </c>
      <c r="B21" s="5"/>
      <c r="C21" s="5"/>
      <c r="D21" s="5"/>
      <c r="E21" s="5"/>
      <c r="F21" s="5"/>
      <c r="G21" s="5"/>
      <c r="H21" s="50" t="s">
        <v>18</v>
      </c>
      <c r="I21" s="103">
        <f>ROUNDUP(I20-I19,0)</f>
        <v>57</v>
      </c>
      <c r="J21" s="5"/>
      <c r="K21" s="5"/>
      <c r="L21" s="5"/>
      <c r="M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ht="15.75" customHeight="1">
      <c r="A23" s="104" t="s">
        <v>19</v>
      </c>
      <c r="B23" s="105"/>
      <c r="C23" s="105"/>
      <c r="D23" s="105"/>
      <c r="E23" s="105"/>
      <c r="F23" s="105"/>
      <c r="G23" s="105"/>
      <c r="H23" s="105"/>
      <c r="I23" s="106"/>
      <c r="J23" s="33"/>
    </row>
    <row r="24" ht="15.75" customHeight="1">
      <c r="A24" s="106"/>
      <c r="B24" s="105"/>
      <c r="C24" s="105"/>
      <c r="D24" s="105"/>
      <c r="E24" s="105"/>
      <c r="F24" s="107" t="s">
        <v>20</v>
      </c>
      <c r="G24" s="107" t="s">
        <v>21</v>
      </c>
      <c r="H24" s="107" t="s">
        <v>22</v>
      </c>
      <c r="I24" s="108"/>
      <c r="J24" s="33"/>
    </row>
    <row r="25" ht="15.75" customHeight="1">
      <c r="A25" s="105"/>
      <c r="B25" s="105"/>
      <c r="C25" s="105"/>
      <c r="D25" s="105"/>
      <c r="E25" s="105"/>
      <c r="F25" s="109">
        <f t="shared" ref="F25:G25" si="8">F19*1000</f>
        <v>402000</v>
      </c>
      <c r="G25" s="110">
        <f t="shared" si="8"/>
        <v>670000</v>
      </c>
      <c r="H25" s="111">
        <f>(I2/G25)*1000</f>
        <v>67.1641791</v>
      </c>
      <c r="I25" s="105"/>
      <c r="J25" s="33"/>
      <c r="L25" s="18"/>
      <c r="M25" s="18"/>
      <c r="N25" s="18"/>
      <c r="O25" s="18"/>
      <c r="P25" s="18"/>
      <c r="Q25" s="18"/>
      <c r="R25" s="18"/>
    </row>
    <row r="26" ht="15.75" customHeight="1">
      <c r="A26" s="73"/>
      <c r="B26" s="73"/>
      <c r="C26" s="5"/>
      <c r="D26" s="74"/>
      <c r="E26" s="5"/>
      <c r="F26" s="5"/>
      <c r="G26" s="5"/>
      <c r="H26" s="5"/>
      <c r="I26" s="74"/>
      <c r="J26" s="33"/>
      <c r="L26" s="18"/>
      <c r="M26" s="18"/>
      <c r="N26" s="18"/>
      <c r="O26" s="18"/>
      <c r="P26" s="18"/>
      <c r="Q26" s="18"/>
      <c r="R26" s="18"/>
    </row>
    <row r="27" ht="15.75" customHeight="1">
      <c r="A27" s="73"/>
      <c r="B27" s="73"/>
      <c r="C27" s="5"/>
      <c r="D27" s="74"/>
      <c r="E27" s="5"/>
      <c r="F27" s="5"/>
      <c r="G27" s="5"/>
      <c r="H27" s="5"/>
      <c r="I27" s="74"/>
      <c r="J27" s="33"/>
      <c r="L27" s="18"/>
      <c r="M27" s="18"/>
      <c r="N27" s="18"/>
      <c r="O27" s="18"/>
      <c r="P27" s="18"/>
      <c r="Q27" s="18"/>
      <c r="R27" s="18"/>
    </row>
    <row r="28" ht="15.75" customHeight="1">
      <c r="A28" s="5"/>
      <c r="B28" s="5"/>
      <c r="C28" s="5"/>
      <c r="D28" s="5"/>
      <c r="E28" s="5"/>
      <c r="F28" s="74"/>
      <c r="G28" s="74"/>
      <c r="H28" s="112"/>
      <c r="I28" s="74"/>
      <c r="J28" s="113"/>
      <c r="L28" s="18"/>
      <c r="M28" s="18"/>
      <c r="N28" s="18"/>
      <c r="O28" s="18"/>
      <c r="P28" s="18"/>
      <c r="Q28" s="18"/>
      <c r="R28" s="18"/>
    </row>
    <row r="29" ht="15.75" customHeight="1">
      <c r="A29" s="114" t="s">
        <v>23</v>
      </c>
      <c r="B29" s="115"/>
      <c r="C29" s="115"/>
      <c r="D29" s="115"/>
      <c r="E29" s="115"/>
      <c r="F29" s="66"/>
      <c r="G29" s="66"/>
      <c r="H29" s="65"/>
      <c r="I29" s="64">
        <v>7000.0</v>
      </c>
      <c r="J29" s="113"/>
      <c r="L29" s="18"/>
      <c r="M29" s="18"/>
      <c r="N29" s="18"/>
      <c r="O29" s="18"/>
      <c r="P29" s="18"/>
      <c r="Q29" s="18"/>
      <c r="R29" s="18"/>
    </row>
    <row r="30" ht="15.75" customHeight="1">
      <c r="A30" s="115" t="s">
        <v>5</v>
      </c>
      <c r="B30" s="115"/>
      <c r="C30" s="115"/>
      <c r="D30" s="115"/>
      <c r="E30" s="115"/>
      <c r="F30" s="66"/>
      <c r="G30" s="66"/>
      <c r="H30" s="65"/>
      <c r="I30" s="68">
        <f>I29/I2</f>
        <v>0.1555555556</v>
      </c>
      <c r="J30" s="5"/>
      <c r="L30" s="18"/>
      <c r="M30" s="18"/>
      <c r="N30" s="18"/>
      <c r="O30" s="18"/>
      <c r="P30" s="18"/>
      <c r="Q30" s="18"/>
      <c r="R30" s="18"/>
    </row>
    <row r="31" ht="15.75" customHeight="1">
      <c r="A31" s="115"/>
      <c r="B31" s="116" t="s">
        <v>24</v>
      </c>
      <c r="C31" s="115"/>
      <c r="D31" s="116" t="s">
        <v>25</v>
      </c>
      <c r="E31" s="116" t="s">
        <v>26</v>
      </c>
      <c r="F31" s="117" t="s">
        <v>20</v>
      </c>
      <c r="G31" s="117" t="s">
        <v>21</v>
      </c>
      <c r="H31" s="118" t="s">
        <v>27</v>
      </c>
      <c r="I31" s="119"/>
      <c r="J31" s="5"/>
      <c r="L31" s="18"/>
      <c r="M31" s="18"/>
      <c r="N31" s="18"/>
      <c r="O31" s="18"/>
      <c r="P31" s="18"/>
      <c r="Q31" s="18"/>
      <c r="R31" s="18"/>
    </row>
    <row r="32" ht="15.75" customHeight="1">
      <c r="A32" s="33" t="s">
        <v>4</v>
      </c>
      <c r="B32" s="33"/>
      <c r="C32" s="33"/>
      <c r="D32" s="74"/>
      <c r="E32" s="120"/>
      <c r="F32" s="120"/>
      <c r="G32" s="120"/>
      <c r="H32" s="120"/>
      <c r="I32" s="57">
        <f>8*96</f>
        <v>768</v>
      </c>
      <c r="J32" s="33" t="s">
        <v>28</v>
      </c>
    </row>
    <row r="33" ht="15.75" customHeight="1">
      <c r="A33" s="33" t="s">
        <v>29</v>
      </c>
      <c r="B33" s="93">
        <v>8.0</v>
      </c>
      <c r="C33" s="33"/>
      <c r="D33" s="61">
        <v>220.0</v>
      </c>
      <c r="E33" s="120"/>
      <c r="F33" s="120"/>
      <c r="G33" s="120"/>
      <c r="H33" s="120"/>
      <c r="I33" s="57">
        <f>B33*D33</f>
        <v>1760</v>
      </c>
      <c r="J33" s="33"/>
    </row>
    <row r="34" ht="16.5" customHeight="1">
      <c r="A34" s="5" t="s">
        <v>30</v>
      </c>
      <c r="B34" s="121"/>
      <c r="C34" s="121"/>
      <c r="D34" s="121"/>
      <c r="E34" s="5" t="s">
        <v>31</v>
      </c>
      <c r="F34" s="57">
        <f t="shared" ref="F34:F36" si="9">G34*0.25</f>
        <v>0</v>
      </c>
      <c r="G34" s="57">
        <f t="shared" ref="G34:G35" si="10">sum(1000*I34)/H34*0.85</f>
        <v>0</v>
      </c>
      <c r="H34" s="31">
        <f>(50*1.18)/11</f>
        <v>5.363636364</v>
      </c>
      <c r="I34" s="61">
        <v>0.0</v>
      </c>
      <c r="J34" s="122">
        <v>0.4</v>
      </c>
      <c r="K34" s="5"/>
      <c r="L34" s="5"/>
      <c r="M34" s="5"/>
    </row>
    <row r="35" ht="15.75" customHeight="1">
      <c r="A35" s="5" t="s">
        <v>32</v>
      </c>
      <c r="B35" s="121"/>
      <c r="C35" s="121"/>
      <c r="D35" s="121"/>
      <c r="E35" s="5" t="s">
        <v>31</v>
      </c>
      <c r="F35" s="57">
        <f t="shared" si="9"/>
        <v>354349.1525</v>
      </c>
      <c r="G35" s="57">
        <f t="shared" si="10"/>
        <v>1417396.61</v>
      </c>
      <c r="H35" s="31">
        <f>(25*1.18)/11</f>
        <v>2.681818182</v>
      </c>
      <c r="I35" s="61">
        <f>(I29-I32-I33)</f>
        <v>4472</v>
      </c>
      <c r="J35" s="123">
        <v>0.6</v>
      </c>
      <c r="K35" s="5"/>
      <c r="L35" s="5"/>
      <c r="M35" s="5"/>
    </row>
    <row r="36" ht="15.75" customHeight="1">
      <c r="A36" s="114" t="s">
        <v>33</v>
      </c>
      <c r="B36" s="115"/>
      <c r="C36" s="115"/>
      <c r="D36" s="115"/>
      <c r="E36" s="115"/>
      <c r="F36" s="64">
        <f t="shared" si="9"/>
        <v>354.3491525</v>
      </c>
      <c r="G36" s="64">
        <f>sum(G33:G35)/1000</f>
        <v>1417.39661</v>
      </c>
      <c r="H36" s="65"/>
      <c r="I36" s="64">
        <f>sum(I32:I35)</f>
        <v>7000</v>
      </c>
      <c r="J36" s="94"/>
      <c r="K36" s="5"/>
      <c r="L36" s="5"/>
      <c r="M36" s="5"/>
    </row>
    <row r="37" ht="15.75" customHeight="1">
      <c r="A37" s="124" t="s">
        <v>5</v>
      </c>
      <c r="B37" s="125"/>
      <c r="C37" s="125"/>
      <c r="D37" s="125"/>
      <c r="E37" s="125"/>
      <c r="F37" s="66"/>
      <c r="G37" s="66"/>
      <c r="H37" s="65"/>
      <c r="I37" s="68">
        <f>I36/I2</f>
        <v>0.1555555556</v>
      </c>
      <c r="J37" s="94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</row>
    <row r="40" ht="15.75" customHeight="1">
      <c r="A40" s="126" t="s">
        <v>19</v>
      </c>
      <c r="B40" s="127"/>
      <c r="C40" s="127"/>
      <c r="D40" s="127"/>
      <c r="E40" s="127"/>
      <c r="F40" s="127"/>
      <c r="G40" s="127"/>
      <c r="H40" s="127"/>
      <c r="I40" s="127"/>
      <c r="J40" s="33"/>
    </row>
    <row r="41" ht="15.75" customHeight="1">
      <c r="A41" s="127"/>
      <c r="B41" s="127"/>
      <c r="C41" s="127"/>
      <c r="D41" s="127"/>
      <c r="E41" s="127"/>
      <c r="F41" s="128" t="s">
        <v>20</v>
      </c>
      <c r="G41" s="128" t="s">
        <v>21</v>
      </c>
      <c r="H41" s="128" t="s">
        <v>22</v>
      </c>
      <c r="I41" s="127"/>
      <c r="J41" s="33"/>
    </row>
    <row r="42" ht="15.75" customHeight="1">
      <c r="A42" s="127"/>
      <c r="B42" s="127"/>
      <c r="C42" s="127"/>
      <c r="D42" s="127"/>
      <c r="E42" s="127"/>
      <c r="F42" s="129">
        <f>F36*1000</f>
        <v>354349.1525</v>
      </c>
      <c r="G42" s="130">
        <f>(G19+G36)*1000</f>
        <v>2087396.61</v>
      </c>
      <c r="H42" s="111">
        <f>(I19/G42)*1000</f>
        <v>12.92658514</v>
      </c>
      <c r="I42" s="127"/>
      <c r="J42" s="33"/>
    </row>
    <row r="43" ht="15.75" customHeight="1">
      <c r="B43" s="21" t="s">
        <v>34</v>
      </c>
      <c r="C43" s="21" t="s">
        <v>34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conditionalFormatting sqref="I15">
    <cfRule type="expression" dxfId="0" priority="1">
      <formula>IF(I15&gt;0)</formula>
    </cfRule>
  </conditionalFormatting>
  <conditionalFormatting sqref="I15">
    <cfRule type="expression" dxfId="1" priority="2">
      <formula>IF(I15&lt;0)</formula>
    </cfRule>
  </conditionalFormatting>
  <conditionalFormatting sqref="A3:A12">
    <cfRule type="containsText" dxfId="2" priority="3" operator="containsText" text="TikTok">
      <formula>NOT(ISERROR(SEARCH(("TikTok"),(A3))))</formula>
    </cfRule>
  </conditionalFormatting>
  <conditionalFormatting sqref="A3:A12">
    <cfRule type="containsText" dxfId="3" priority="4" operator="containsText" text="Instagram">
      <formula>NOT(ISERROR(SEARCH(("Instagram"),(A3))))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5" width="24.0"/>
    <col customWidth="1" min="6" max="6" width="14.0"/>
    <col customWidth="1" min="7" max="7" width="23.5"/>
    <col customWidth="1" min="8" max="8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4" t="s">
        <v>2</v>
      </c>
      <c r="L1" s="5"/>
      <c r="M1" s="5"/>
    </row>
    <row r="2" ht="15.75" customHeight="1">
      <c r="A2" s="1" t="s">
        <v>3</v>
      </c>
      <c r="B2" s="2"/>
      <c r="C2" s="2"/>
      <c r="D2" s="2"/>
      <c r="E2" s="2"/>
      <c r="F2" s="2"/>
      <c r="G2" s="2"/>
      <c r="H2" s="2"/>
      <c r="I2" s="6">
        <v>45000.0</v>
      </c>
      <c r="J2" s="7">
        <f>I2*11*0.97</f>
        <v>480150</v>
      </c>
      <c r="L2" s="5"/>
      <c r="M2" s="5"/>
    </row>
    <row r="3" ht="15.75" customHeight="1">
      <c r="A3" s="8"/>
      <c r="B3" s="5"/>
      <c r="C3" s="5"/>
      <c r="D3" s="5"/>
      <c r="E3" s="5"/>
      <c r="F3" s="5"/>
      <c r="G3" s="5"/>
      <c r="H3" s="9"/>
      <c r="I3" s="5"/>
      <c r="J3" s="5"/>
      <c r="K3" s="5"/>
      <c r="L3" s="5"/>
      <c r="M3" s="5"/>
    </row>
    <row r="4" ht="15.75" customHeight="1">
      <c r="A4" s="10" t="s">
        <v>4</v>
      </c>
      <c r="B4" s="11"/>
      <c r="C4" s="11"/>
      <c r="D4" s="11"/>
      <c r="E4" s="11"/>
      <c r="F4" s="11"/>
      <c r="G4" s="11"/>
      <c r="H4" s="11"/>
      <c r="I4" s="12">
        <v>15768.0</v>
      </c>
    </row>
    <row r="5" ht="15.75" customHeight="1">
      <c r="A5" s="13" t="s">
        <v>5</v>
      </c>
      <c r="B5" s="11"/>
      <c r="C5" s="11"/>
      <c r="D5" s="11"/>
      <c r="E5" s="11"/>
      <c r="F5" s="11"/>
      <c r="G5" s="11"/>
      <c r="H5" s="11"/>
      <c r="I5" s="14">
        <f>I4/I2</f>
        <v>0.3504</v>
      </c>
    </row>
    <row r="6" ht="15.75" customHeight="1">
      <c r="I6" s="15"/>
    </row>
    <row r="7" ht="15.75" customHeight="1">
      <c r="A7" s="16" t="s">
        <v>6</v>
      </c>
      <c r="B7" s="16"/>
      <c r="C7" s="16"/>
      <c r="D7" s="16"/>
      <c r="E7" s="16"/>
      <c r="F7" s="16"/>
      <c r="G7" s="16"/>
      <c r="H7" s="16"/>
      <c r="I7" s="16"/>
      <c r="J7" s="17"/>
      <c r="L7" s="18"/>
      <c r="M7" s="18"/>
      <c r="N7" s="18"/>
      <c r="O7" s="18"/>
      <c r="P7" s="18"/>
      <c r="Q7" s="18"/>
      <c r="R7" s="18"/>
    </row>
    <row r="8" ht="15.75" customHeight="1">
      <c r="A8" s="19" t="s">
        <v>7</v>
      </c>
      <c r="B8" s="19" t="s">
        <v>8</v>
      </c>
      <c r="C8" s="20" t="s">
        <v>9</v>
      </c>
      <c r="D8" s="19" t="s">
        <v>10</v>
      </c>
      <c r="E8" s="19" t="s">
        <v>11</v>
      </c>
      <c r="F8" s="19" t="s">
        <v>12</v>
      </c>
      <c r="G8" s="20" t="s">
        <v>13</v>
      </c>
      <c r="H8" s="19" t="s">
        <v>14</v>
      </c>
      <c r="I8" s="20" t="s">
        <v>15</v>
      </c>
      <c r="J8" s="17"/>
      <c r="L8" s="18"/>
      <c r="M8" s="18"/>
      <c r="N8" s="18"/>
      <c r="O8" s="18"/>
      <c r="P8" s="18"/>
      <c r="Q8" s="18"/>
      <c r="R8" s="18"/>
    </row>
    <row r="9" ht="15.75" customHeight="1">
      <c r="A9" s="21" t="s">
        <v>16</v>
      </c>
      <c r="B9" s="22">
        <v>35.0</v>
      </c>
      <c r="C9" s="23" t="str">
        <f t="shared" ref="C9:C11" si="1">IFS(
B9=15,"10-20K",
B9=35,"20-50K",
B9=75,"50-100K",
B9=125,"100-150K"
)</f>
        <v>20-50K</v>
      </c>
      <c r="D9" s="22">
        <v>1.0</v>
      </c>
      <c r="E9" s="18"/>
      <c r="F9" s="24">
        <f t="shared" ref="F9:F18" si="2">G9*0.6</f>
        <v>18</v>
      </c>
      <c r="G9" s="25">
        <f t="shared" ref="G9:G18" si="3">MROUND(B9*0.8,5)</f>
        <v>30</v>
      </c>
      <c r="H9" s="26">
        <f t="shared" ref="H9:H18" si="4">(34*1.1)*1.03</f>
        <v>38.522</v>
      </c>
      <c r="I9" s="27">
        <f t="shared" ref="I9:I18" si="5">G9*H9*D9</f>
        <v>1155.66</v>
      </c>
      <c r="L9" s="18"/>
      <c r="M9" s="28"/>
      <c r="N9" s="28"/>
      <c r="O9" s="9"/>
      <c r="P9" s="29"/>
      <c r="Q9" s="28"/>
      <c r="R9" s="18"/>
    </row>
    <row r="10" ht="15.75" customHeight="1">
      <c r="A10" s="21" t="s">
        <v>16</v>
      </c>
      <c r="B10" s="22">
        <v>35.0</v>
      </c>
      <c r="C10" s="23" t="str">
        <f t="shared" si="1"/>
        <v>20-50K</v>
      </c>
      <c r="D10" s="22">
        <v>1.0</v>
      </c>
      <c r="E10" s="18"/>
      <c r="F10" s="24">
        <f t="shared" si="2"/>
        <v>18</v>
      </c>
      <c r="G10" s="25">
        <f t="shared" si="3"/>
        <v>30</v>
      </c>
      <c r="H10" s="26">
        <f t="shared" si="4"/>
        <v>38.522</v>
      </c>
      <c r="I10" s="27">
        <f t="shared" si="5"/>
        <v>1155.66</v>
      </c>
      <c r="L10" s="18"/>
      <c r="M10" s="30"/>
      <c r="N10" s="30"/>
      <c r="O10" s="31"/>
      <c r="P10" s="29"/>
      <c r="Q10" s="29"/>
      <c r="R10" s="18"/>
    </row>
    <row r="11" ht="15.75" customHeight="1">
      <c r="A11" s="32" t="s">
        <v>16</v>
      </c>
      <c r="B11" s="22">
        <v>75.0</v>
      </c>
      <c r="C11" s="23" t="str">
        <f t="shared" si="1"/>
        <v>50-100K</v>
      </c>
      <c r="D11" s="32">
        <v>1.0</v>
      </c>
      <c r="E11" s="28"/>
      <c r="F11" s="24">
        <f t="shared" si="2"/>
        <v>36</v>
      </c>
      <c r="G11" s="25">
        <f t="shared" si="3"/>
        <v>60</v>
      </c>
      <c r="H11" s="26">
        <f t="shared" si="4"/>
        <v>38.522</v>
      </c>
      <c r="I11" s="27">
        <f t="shared" si="5"/>
        <v>2311.32</v>
      </c>
      <c r="J11" s="33"/>
      <c r="K11" s="5"/>
      <c r="L11" s="28"/>
      <c r="M11" s="34"/>
      <c r="N11" s="34"/>
      <c r="O11" s="9"/>
      <c r="P11" s="28"/>
      <c r="Q11" s="28"/>
      <c r="R11" s="28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15.75" customHeight="1">
      <c r="A12" s="21" t="s">
        <v>16</v>
      </c>
      <c r="B12" s="22">
        <v>75.0</v>
      </c>
      <c r="C12" s="23" t="str">
        <f t="shared" ref="C12:C14" si="6">IFS(
B11=15,"10-20K",
B11=35,"20-50K",
B11=75,"50-100K",
B11=125,"100-150K"
)</f>
        <v>50-100K</v>
      </c>
      <c r="D12" s="22">
        <v>1.0</v>
      </c>
      <c r="E12" s="18"/>
      <c r="F12" s="24">
        <f t="shared" si="2"/>
        <v>36</v>
      </c>
      <c r="G12" s="25">
        <f t="shared" si="3"/>
        <v>60</v>
      </c>
      <c r="H12" s="26">
        <f t="shared" si="4"/>
        <v>38.522</v>
      </c>
      <c r="I12" s="27">
        <f t="shared" si="5"/>
        <v>2311.32</v>
      </c>
      <c r="L12" s="18"/>
      <c r="M12" s="30"/>
      <c r="N12" s="30"/>
      <c r="O12" s="31"/>
      <c r="P12" s="29"/>
      <c r="Q12" s="29"/>
      <c r="R12" s="18"/>
    </row>
    <row r="13" ht="15.75" customHeight="1">
      <c r="A13" s="21" t="s">
        <v>16</v>
      </c>
      <c r="B13" s="22">
        <v>75.0</v>
      </c>
      <c r="C13" s="23" t="str">
        <f t="shared" si="6"/>
        <v>50-100K</v>
      </c>
      <c r="D13" s="22">
        <v>1.0</v>
      </c>
      <c r="E13" s="18"/>
      <c r="F13" s="24">
        <f t="shared" si="2"/>
        <v>36</v>
      </c>
      <c r="G13" s="25">
        <f t="shared" si="3"/>
        <v>60</v>
      </c>
      <c r="H13" s="26">
        <f t="shared" si="4"/>
        <v>38.522</v>
      </c>
      <c r="I13" s="27">
        <f t="shared" si="5"/>
        <v>2311.32</v>
      </c>
      <c r="L13" s="18"/>
      <c r="M13" s="34"/>
      <c r="N13" s="30"/>
      <c r="O13" s="9"/>
      <c r="P13" s="29"/>
      <c r="Q13" s="28"/>
      <c r="R13" s="18"/>
    </row>
    <row r="14" ht="15.75" customHeight="1">
      <c r="A14" s="32" t="s">
        <v>16</v>
      </c>
      <c r="B14" s="32">
        <v>75.0</v>
      </c>
      <c r="C14" s="23" t="str">
        <f t="shared" si="6"/>
        <v>50-100K</v>
      </c>
      <c r="D14" s="32">
        <v>1.0</v>
      </c>
      <c r="E14" s="28"/>
      <c r="F14" s="36">
        <f t="shared" si="2"/>
        <v>36</v>
      </c>
      <c r="G14" s="25">
        <f t="shared" si="3"/>
        <v>60</v>
      </c>
      <c r="H14" s="26">
        <f t="shared" si="4"/>
        <v>38.522</v>
      </c>
      <c r="I14" s="27">
        <f t="shared" si="5"/>
        <v>2311.32</v>
      </c>
      <c r="J14" s="33"/>
      <c r="K14" s="5"/>
      <c r="L14" s="28"/>
      <c r="M14" s="34"/>
      <c r="N14" s="34"/>
      <c r="O14" s="9"/>
      <c r="P14" s="28"/>
      <c r="Q14" s="28"/>
      <c r="R14" s="28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15.75" customHeight="1">
      <c r="A15" s="32" t="s">
        <v>16</v>
      </c>
      <c r="B15" s="21">
        <v>75.0</v>
      </c>
      <c r="C15" s="23" t="str">
        <f t="shared" ref="C15:C17" si="7">IFS(
B15=15,"10-20K",
B15=35,"20-50K",
B15=75,"50-100K",
B15=125,"100-150K"
)</f>
        <v>50-100K</v>
      </c>
      <c r="D15" s="32">
        <v>1.0</v>
      </c>
      <c r="E15" s="28"/>
      <c r="F15" s="36">
        <f t="shared" si="2"/>
        <v>36</v>
      </c>
      <c r="G15" s="25">
        <f t="shared" si="3"/>
        <v>60</v>
      </c>
      <c r="H15" s="26">
        <f t="shared" si="4"/>
        <v>38.522</v>
      </c>
      <c r="I15" s="27">
        <f t="shared" si="5"/>
        <v>2311.32</v>
      </c>
      <c r="J15" s="33"/>
      <c r="K15" s="5"/>
      <c r="L15" s="28"/>
      <c r="M15" s="28"/>
      <c r="N15" s="28"/>
      <c r="O15" s="28"/>
      <c r="P15" s="28"/>
      <c r="Q15" s="28"/>
      <c r="R15" s="28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15.75" customHeight="1">
      <c r="A16" s="32" t="s">
        <v>16</v>
      </c>
      <c r="B16" s="22">
        <v>125.0</v>
      </c>
      <c r="C16" s="23" t="str">
        <f t="shared" si="7"/>
        <v>100-150K</v>
      </c>
      <c r="D16" s="32">
        <v>1.0</v>
      </c>
      <c r="E16" s="28"/>
      <c r="F16" s="36">
        <f t="shared" si="2"/>
        <v>60</v>
      </c>
      <c r="G16" s="25">
        <f t="shared" si="3"/>
        <v>100</v>
      </c>
      <c r="H16" s="26">
        <f t="shared" si="4"/>
        <v>38.522</v>
      </c>
      <c r="I16" s="27">
        <f t="shared" si="5"/>
        <v>3852.2</v>
      </c>
      <c r="J16" s="33"/>
      <c r="K16" s="5"/>
      <c r="L16" s="28"/>
      <c r="M16" s="28"/>
      <c r="N16" s="28"/>
      <c r="O16" s="9"/>
      <c r="P16" s="28"/>
      <c r="Q16" s="28"/>
      <c r="R16" s="28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15.75" customHeight="1">
      <c r="A17" s="32" t="s">
        <v>16</v>
      </c>
      <c r="B17" s="32">
        <v>125.0</v>
      </c>
      <c r="C17" s="23" t="str">
        <f t="shared" si="7"/>
        <v>100-150K</v>
      </c>
      <c r="D17" s="32">
        <v>1.0</v>
      </c>
      <c r="E17" s="28"/>
      <c r="F17" s="36">
        <f t="shared" si="2"/>
        <v>60</v>
      </c>
      <c r="G17" s="25">
        <f t="shared" si="3"/>
        <v>100</v>
      </c>
      <c r="H17" s="26">
        <f t="shared" si="4"/>
        <v>38.522</v>
      </c>
      <c r="I17" s="27">
        <f t="shared" si="5"/>
        <v>3852.2</v>
      </c>
      <c r="J17" s="33"/>
      <c r="K17" s="5"/>
      <c r="L17" s="28"/>
      <c r="M17" s="34"/>
      <c r="N17" s="34"/>
      <c r="O17" s="9"/>
      <c r="P17" s="28"/>
      <c r="Q17" s="28"/>
      <c r="R17" s="28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15.75" customHeight="1">
      <c r="A18" s="32" t="s">
        <v>16</v>
      </c>
      <c r="B18" s="32">
        <v>175.0</v>
      </c>
      <c r="C18" s="23" t="str">
        <f>IFS(
B18=15,"10-20K",
B18=35,"20-50K",
B18=75,"50-100K",
B18=125,"100-150K",
B18=175,"150-200K"
)</f>
        <v>150-200K</v>
      </c>
      <c r="D18" s="32">
        <v>1.0</v>
      </c>
      <c r="E18" s="28"/>
      <c r="F18" s="36">
        <f t="shared" si="2"/>
        <v>84</v>
      </c>
      <c r="G18" s="25">
        <f t="shared" si="3"/>
        <v>140</v>
      </c>
      <c r="H18" s="26">
        <f t="shared" si="4"/>
        <v>38.522</v>
      </c>
      <c r="I18" s="27">
        <f t="shared" si="5"/>
        <v>5393.08</v>
      </c>
      <c r="J18" s="33"/>
      <c r="K18" s="5"/>
      <c r="L18" s="28"/>
      <c r="M18" s="28"/>
      <c r="N18" s="28"/>
      <c r="O18" s="28"/>
      <c r="P18" s="28"/>
      <c r="Q18" s="28"/>
      <c r="R18" s="28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5.75" customHeight="1">
      <c r="A19" s="16" t="str">
        <f>"Total Profiles: "&amp;ROWS(A9:A18)*COLUMNS(A1:A97)</f>
        <v>Total Profiles: 10</v>
      </c>
      <c r="B19" s="16"/>
      <c r="C19" s="16"/>
      <c r="D19" s="16">
        <f>SUM(D8:D18)</f>
        <v>10</v>
      </c>
      <c r="E19" s="16"/>
      <c r="F19" s="16">
        <f>sum(F9:F18)</f>
        <v>420</v>
      </c>
      <c r="G19" s="16">
        <f>SUM(G9:G18)</f>
        <v>700</v>
      </c>
      <c r="H19" s="16"/>
      <c r="I19" s="37">
        <f>sum(I9:I18)</f>
        <v>26965.4</v>
      </c>
      <c r="J19" s="38" t="s">
        <v>17</v>
      </c>
      <c r="K19" s="5"/>
      <c r="L19" s="28"/>
      <c r="M19" s="28"/>
      <c r="N19" s="18"/>
      <c r="O19" s="18"/>
      <c r="P19" s="18"/>
      <c r="Q19" s="18"/>
      <c r="R19" s="18"/>
    </row>
    <row r="20" ht="15.75" customHeight="1">
      <c r="A20" s="39" t="str">
        <f>"Total Tiktok: "&amp;COUNTIF(A9:A18,"*tiktok*")</f>
        <v>Total Tiktok: 10</v>
      </c>
      <c r="I20" s="40">
        <f>J20*0.925</f>
        <v>27039.6</v>
      </c>
      <c r="J20" s="41">
        <f>I2-I4</f>
        <v>29232</v>
      </c>
      <c r="K20" s="5"/>
      <c r="L20" s="28"/>
      <c r="M20" s="28"/>
      <c r="N20" s="18"/>
      <c r="O20" s="18"/>
      <c r="P20" s="18"/>
      <c r="Q20" s="18"/>
      <c r="R20" s="18"/>
    </row>
    <row r="21" ht="15.75" customHeight="1">
      <c r="A21" s="39" t="str">
        <f>"Total Instagram: "&amp;COUNTIF(A9:A18,"*instagram*")</f>
        <v>Total Instagram: 0</v>
      </c>
      <c r="H21" s="42" t="s">
        <v>18</v>
      </c>
      <c r="I21" s="43">
        <f>ROUNDUP(I20-I19,0)</f>
        <v>75</v>
      </c>
    </row>
    <row r="22" ht="15.75" customHeight="1"/>
    <row r="23" ht="15.75" customHeight="1">
      <c r="A23" s="44" t="s">
        <v>19</v>
      </c>
      <c r="B23" s="44"/>
      <c r="C23" s="44"/>
      <c r="D23" s="44"/>
      <c r="E23" s="44"/>
      <c r="F23" s="44"/>
      <c r="G23" s="45"/>
      <c r="H23" s="45"/>
      <c r="I23" s="46"/>
      <c r="K23" s="5"/>
      <c r="L23" s="5"/>
      <c r="M23" s="5"/>
    </row>
    <row r="24" ht="15.75" customHeight="1">
      <c r="A24" s="44"/>
      <c r="B24" s="44"/>
      <c r="C24" s="44"/>
      <c r="D24" s="44"/>
      <c r="E24" s="44"/>
      <c r="F24" s="45" t="s">
        <v>20</v>
      </c>
      <c r="G24" s="45" t="s">
        <v>21</v>
      </c>
      <c r="H24" s="45" t="s">
        <v>22</v>
      </c>
      <c r="I24" s="46"/>
      <c r="K24" s="5"/>
      <c r="L24" s="5"/>
      <c r="M24" s="5"/>
    </row>
    <row r="25" ht="15.75" customHeight="1">
      <c r="A25" s="44"/>
      <c r="B25" s="44"/>
      <c r="C25" s="44"/>
      <c r="D25" s="44"/>
      <c r="E25" s="44"/>
      <c r="F25" s="44">
        <f t="shared" ref="F25:G25" si="8">F19*1000</f>
        <v>420000</v>
      </c>
      <c r="G25" s="47">
        <f t="shared" si="8"/>
        <v>700000</v>
      </c>
      <c r="H25" s="48">
        <f>(I2/G25)*1000</f>
        <v>64.28571429</v>
      </c>
      <c r="I25" s="46"/>
      <c r="K25" s="5"/>
      <c r="L25" s="5"/>
      <c r="M25" s="5"/>
    </row>
    <row r="26" ht="15.75" customHeight="1">
      <c r="A26" s="8"/>
      <c r="B26" s="5"/>
      <c r="C26" s="5"/>
      <c r="D26" s="5"/>
      <c r="E26" s="5"/>
      <c r="F26" s="5"/>
      <c r="G26" s="5"/>
      <c r="H26" s="49"/>
      <c r="I26" s="50"/>
      <c r="J26" s="5"/>
      <c r="K26" s="5"/>
      <c r="L26" s="5"/>
      <c r="M26" s="5"/>
    </row>
    <row r="27" ht="15.75" customHeight="1">
      <c r="A27" s="5"/>
      <c r="B27" s="51"/>
      <c r="C27" s="51"/>
      <c r="D27" s="51"/>
      <c r="E27" s="51"/>
      <c r="F27" s="5"/>
      <c r="G27" s="5"/>
      <c r="H27" s="5"/>
      <c r="I27" s="5"/>
      <c r="J27" s="5"/>
      <c r="K27" s="5"/>
      <c r="L27" s="5"/>
      <c r="M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5.75" customHeight="1">
      <c r="A29" s="52" t="s">
        <v>23</v>
      </c>
      <c r="B29" s="53"/>
      <c r="C29" s="53"/>
      <c r="D29" s="53"/>
      <c r="E29" s="53"/>
      <c r="F29" s="53"/>
      <c r="G29" s="53"/>
      <c r="H29" s="53"/>
      <c r="I29" s="52">
        <v>7000.0</v>
      </c>
    </row>
    <row r="30" ht="15.75" customHeight="1">
      <c r="A30" s="54" t="s">
        <v>5</v>
      </c>
      <c r="B30" s="53"/>
      <c r="C30" s="53"/>
      <c r="D30" s="53"/>
      <c r="E30" s="53"/>
      <c r="F30" s="53"/>
      <c r="G30" s="53"/>
      <c r="H30" s="53"/>
      <c r="I30" s="55">
        <f>I29/I2</f>
        <v>0.1555555556</v>
      </c>
    </row>
    <row r="31" ht="15.75" customHeight="1">
      <c r="A31" s="53"/>
      <c r="B31" s="56" t="s">
        <v>24</v>
      </c>
      <c r="C31" s="56"/>
      <c r="D31" s="56" t="s">
        <v>25</v>
      </c>
      <c r="E31" s="56" t="s">
        <v>26</v>
      </c>
      <c r="F31" s="56" t="s">
        <v>20</v>
      </c>
      <c r="G31" s="56" t="s">
        <v>21</v>
      </c>
      <c r="H31" s="56" t="s">
        <v>27</v>
      </c>
      <c r="I31" s="53"/>
      <c r="L31" s="18"/>
      <c r="M31" s="18"/>
      <c r="N31" s="18"/>
      <c r="O31" s="18"/>
      <c r="P31" s="18"/>
      <c r="Q31" s="18"/>
      <c r="R31" s="18"/>
    </row>
    <row r="32" ht="15.75" customHeight="1">
      <c r="A32" s="22" t="s">
        <v>4</v>
      </c>
      <c r="B32" s="22"/>
      <c r="C32" s="25"/>
      <c r="D32" s="26"/>
      <c r="E32" s="24"/>
      <c r="F32" s="24"/>
      <c r="G32" s="24"/>
      <c r="H32" s="24"/>
      <c r="I32" s="27">
        <f>8*96</f>
        <v>768</v>
      </c>
      <c r="J32" s="21" t="s">
        <v>28</v>
      </c>
      <c r="L32" s="18"/>
      <c r="M32" s="18"/>
      <c r="N32" s="18"/>
      <c r="O32" s="18"/>
      <c r="P32" s="18"/>
      <c r="Q32" s="18"/>
      <c r="R32" s="18"/>
    </row>
    <row r="33" ht="15.75" customHeight="1">
      <c r="A33" s="22" t="s">
        <v>29</v>
      </c>
      <c r="B33" s="22">
        <v>8.0</v>
      </c>
      <c r="C33" s="25"/>
      <c r="D33" s="26">
        <v>220.0</v>
      </c>
      <c r="E33" s="24"/>
      <c r="F33" s="24"/>
      <c r="G33" s="24"/>
      <c r="H33" s="24"/>
      <c r="I33" s="27">
        <f>B33*D33</f>
        <v>1760</v>
      </c>
      <c r="L33" s="18"/>
      <c r="M33" s="18"/>
      <c r="N33" s="18"/>
      <c r="O33" s="18"/>
      <c r="P33" s="18"/>
      <c r="Q33" s="18"/>
      <c r="R33" s="18"/>
    </row>
    <row r="34" ht="15.75" customHeight="1">
      <c r="A34" s="25" t="s">
        <v>30</v>
      </c>
      <c r="B34" s="24"/>
      <c r="C34" s="24"/>
      <c r="D34" s="24"/>
      <c r="E34" s="25" t="s">
        <v>31</v>
      </c>
      <c r="F34" s="57">
        <f t="shared" ref="F34:F36" si="9">G34*0.25</f>
        <v>0</v>
      </c>
      <c r="G34" s="57">
        <f t="shared" ref="G34:G35" si="10">sum(1000*I34)/H34*0.85</f>
        <v>0</v>
      </c>
      <c r="H34" s="58">
        <f>(50*1.18)/11</f>
        <v>5.363636364</v>
      </c>
      <c r="I34" s="59">
        <v>0.0</v>
      </c>
      <c r="J34" s="60">
        <v>0.4</v>
      </c>
      <c r="L34" s="18"/>
      <c r="M34" s="18"/>
      <c r="N34" s="18"/>
      <c r="O34" s="18"/>
      <c r="P34" s="18"/>
      <c r="Q34" s="18"/>
      <c r="R34" s="18"/>
    </row>
    <row r="35" ht="15.75" customHeight="1">
      <c r="A35" s="25" t="s">
        <v>32</v>
      </c>
      <c r="B35" s="24"/>
      <c r="C35" s="24"/>
      <c r="D35" s="24"/>
      <c r="E35" s="25" t="s">
        <v>31</v>
      </c>
      <c r="F35" s="57">
        <f t="shared" si="9"/>
        <v>354349.1525</v>
      </c>
      <c r="G35" s="57">
        <f t="shared" si="10"/>
        <v>1417396.61</v>
      </c>
      <c r="H35" s="58">
        <f>(25*1.18)/11</f>
        <v>2.681818182</v>
      </c>
      <c r="I35" s="61">
        <f>(I29-I32-I33)</f>
        <v>4472</v>
      </c>
      <c r="J35" s="62">
        <v>0.6</v>
      </c>
      <c r="L35" s="18"/>
      <c r="M35" s="18"/>
      <c r="N35" s="18"/>
      <c r="O35" s="18"/>
      <c r="P35" s="18"/>
      <c r="Q35" s="18"/>
      <c r="R35" s="18"/>
    </row>
    <row r="36" ht="15.75" customHeight="1">
      <c r="A36" s="53" t="s">
        <v>33</v>
      </c>
      <c r="B36" s="53"/>
      <c r="C36" s="53"/>
      <c r="D36" s="53"/>
      <c r="E36" s="53"/>
      <c r="F36" s="63">
        <f t="shared" si="9"/>
        <v>354.3491525</v>
      </c>
      <c r="G36" s="64">
        <f>sum(G33:G35)/1000</f>
        <v>1417.39661</v>
      </c>
      <c r="H36" s="65"/>
      <c r="I36" s="64">
        <f>sum(I32:I35)</f>
        <v>7000</v>
      </c>
      <c r="J36" s="28"/>
      <c r="L36" s="18"/>
      <c r="M36" s="18"/>
      <c r="N36" s="18"/>
      <c r="O36" s="18"/>
      <c r="P36" s="18"/>
      <c r="Q36" s="18"/>
      <c r="R36" s="18"/>
    </row>
    <row r="37" ht="15.75" customHeight="1">
      <c r="A37" s="56" t="s">
        <v>5</v>
      </c>
      <c r="B37" s="53"/>
      <c r="C37" s="53"/>
      <c r="D37" s="53"/>
      <c r="E37" s="53"/>
      <c r="F37" s="66"/>
      <c r="G37" s="67"/>
      <c r="H37" s="65"/>
      <c r="I37" s="68">
        <f>I36/I2</f>
        <v>0.1555555556</v>
      </c>
      <c r="J37" s="28"/>
      <c r="L37" s="18"/>
      <c r="M37" s="18"/>
      <c r="N37" s="18"/>
      <c r="O37" s="18"/>
      <c r="P37" s="18"/>
      <c r="Q37" s="18"/>
      <c r="R37" s="18"/>
    </row>
    <row r="38" ht="15.75" customHeight="1"/>
    <row r="39" ht="15.75" customHeight="1"/>
    <row r="40" ht="16.5" customHeight="1">
      <c r="A40" s="44" t="s">
        <v>19</v>
      </c>
      <c r="B40" s="44"/>
      <c r="C40" s="44"/>
      <c r="D40" s="44"/>
      <c r="E40" s="44"/>
      <c r="F40" s="44"/>
      <c r="G40" s="45"/>
      <c r="H40" s="45"/>
      <c r="I40" s="46"/>
      <c r="K40" s="5"/>
      <c r="L40" s="5"/>
      <c r="M40" s="5"/>
    </row>
    <row r="41" ht="15.75" customHeight="1">
      <c r="A41" s="44"/>
      <c r="B41" s="44"/>
      <c r="C41" s="44"/>
      <c r="D41" s="44"/>
      <c r="E41" s="44"/>
      <c r="F41" s="45" t="s">
        <v>20</v>
      </c>
      <c r="G41" s="45" t="s">
        <v>21</v>
      </c>
      <c r="H41" s="45" t="s">
        <v>22</v>
      </c>
      <c r="I41" s="46"/>
      <c r="K41" s="5"/>
      <c r="L41" s="5"/>
      <c r="M41" s="5"/>
    </row>
    <row r="42" ht="15.75" customHeight="1">
      <c r="A42" s="44"/>
      <c r="B42" s="44"/>
      <c r="C42" s="44"/>
      <c r="D42" s="44"/>
      <c r="E42" s="44"/>
      <c r="F42" s="44">
        <f>F36*1000</f>
        <v>354349.1525</v>
      </c>
      <c r="G42" s="47">
        <f>(G19+G36)*1000</f>
        <v>2117396.61</v>
      </c>
      <c r="H42" s="48">
        <f>(I19/G42)*1000</f>
        <v>12.73516727</v>
      </c>
      <c r="I42" s="46"/>
      <c r="K42" s="5"/>
      <c r="L42" s="5"/>
      <c r="M42" s="5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I21">
    <cfRule type="expression" dxfId="0" priority="1">
      <formula>IF(I21&gt;0)</formula>
    </cfRule>
  </conditionalFormatting>
  <conditionalFormatting sqref="I21">
    <cfRule type="expression" dxfId="1" priority="2">
      <formula>IF(I21&lt;0)</formula>
    </cfRule>
  </conditionalFormatting>
  <conditionalFormatting sqref="A9:A18">
    <cfRule type="containsText" dxfId="2" priority="3" operator="containsText" text="TikTok">
      <formula>NOT(ISERROR(SEARCH(("TikTok"),(A9))))</formula>
    </cfRule>
  </conditionalFormatting>
  <conditionalFormatting sqref="A9:A18">
    <cfRule type="containsText" dxfId="3" priority="4" operator="containsText" text="Instagram">
      <formula>NOT(ISERROR(SEARCH(("Instagram"),(A9))))</formula>
    </cfRule>
  </conditionalFormatting>
  <drawing r:id="rId1"/>
</worksheet>
</file>