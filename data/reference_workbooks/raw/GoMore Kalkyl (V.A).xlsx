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kylmall Org." sheetId="1" r:id="rId4"/>
  </sheets>
  <definedNames/>
  <calcPr/>
  <extLst>
    <ext uri="GoogleSheetsCustomDataVersion2">
      <go:sheetsCustomData xmlns:go="http://customooxmlschemas.google.com/" r:id="rId5" roundtripDataChecksum="1bfj0N/Kvyh8VzZu260aY3xR754V9UGtl8VMAro+2h8="/>
    </ext>
  </extLst>
</workbook>
</file>

<file path=xl/sharedStrings.xml><?xml version="1.0" encoding="utf-8"?>
<sst xmlns="http://schemas.openxmlformats.org/spreadsheetml/2006/main" count="52" uniqueCount="37">
  <si>
    <t>Valuta</t>
  </si>
  <si>
    <t>SEK</t>
  </si>
  <si>
    <t>Kampanjbudget</t>
  </si>
  <si>
    <t>Nine Agency hantering</t>
  </si>
  <si>
    <t>Andel (%)</t>
  </si>
  <si>
    <t>Profiles</t>
  </si>
  <si>
    <t>Channel</t>
  </si>
  <si>
    <t>Follower size</t>
  </si>
  <si>
    <t>Activation</t>
  </si>
  <si>
    <t>Content rights</t>
  </si>
  <si>
    <t>Reach (K)</t>
  </si>
  <si>
    <t>Impressions. (K)</t>
  </si>
  <si>
    <t>CPM (profile)</t>
  </si>
  <si>
    <t>Profie fee</t>
  </si>
  <si>
    <t>Instagram</t>
  </si>
  <si>
    <t>1 video</t>
  </si>
  <si>
    <t>7-30 dagar</t>
  </si>
  <si>
    <t>Total</t>
  </si>
  <si>
    <t>inkl 7,5%</t>
  </si>
  <si>
    <t>Diff:</t>
  </si>
  <si>
    <t>TOTAL CAMPAIGN</t>
  </si>
  <si>
    <t>Reach</t>
  </si>
  <si>
    <t>Impressions</t>
  </si>
  <si>
    <t>CPM</t>
  </si>
  <si>
    <t>Add on:</t>
  </si>
  <si>
    <t>Add on: Paid</t>
  </si>
  <si>
    <t>target</t>
  </si>
  <si>
    <t>Antal annonser</t>
  </si>
  <si>
    <t>Pris per annons</t>
  </si>
  <si>
    <t>Målsättning</t>
  </si>
  <si>
    <t>CPM (paid)</t>
  </si>
  <si>
    <t>Nine Hantering</t>
  </si>
  <si>
    <t>SmartOn/Nine Agency hantering</t>
  </si>
  <si>
    <t>Media spend Meta</t>
  </si>
  <si>
    <t>räckvidd</t>
  </si>
  <si>
    <t>Media spend TikTok</t>
  </si>
  <si>
    <t>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</si>
</sst>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### ##0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  <font>
      <b/>
      <color rgb="FF99999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0" fontId="1" numFmtId="0" xfId="0" applyFont="1"/>
    <xf borderId="0" fillId="3" fontId="2" numFmtId="0" xfId="0" applyFont="1"/>
    <xf borderId="0" fillId="5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6" fontId="2" numFmtId="0" xfId="0" applyFill="1" applyFont="1"/>
    <xf borderId="0" fillId="0" fontId="2" numFmtId="0" xfId="0" applyFont="1"/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/>
    </xf>
    <xf borderId="0" fillId="0" fontId="5" numFmtId="0" xfId="0" applyFont="1"/>
    <xf borderId="0" fillId="0" fontId="6" numFmtId="0" xfId="0" applyFont="1"/>
    <xf borderId="0" fillId="0" fontId="4" numFmtId="0" xfId="0" applyAlignment="1" applyFont="1">
      <alignment horizontal="right" readingOrder="0"/>
    </xf>
    <xf borderId="0" fillId="0" fontId="4" numFmtId="0" xfId="0" applyFont="1"/>
    <xf borderId="0" fillId="7" fontId="1" numFmtId="0" xfId="0" applyFill="1" applyFont="1"/>
    <xf borderId="0" fillId="7" fontId="3" numFmtId="0" xfId="0" applyFont="1"/>
    <xf borderId="0" fillId="7" fontId="2" numFmtId="0" xfId="0" applyFont="1"/>
    <xf borderId="0" fillId="7" fontId="7" numFmtId="0" xfId="0" applyFon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8" fontId="1" numFmtId="0" xfId="0" applyAlignment="1" applyFill="1" applyFont="1">
      <alignment readingOrder="0" vertical="bottom"/>
    </xf>
    <xf borderId="0" fillId="8" fontId="7" numFmtId="0" xfId="0" applyAlignment="1" applyFont="1">
      <alignment vertical="bottom"/>
    </xf>
    <xf borderId="0" fillId="8" fontId="2" numFmtId="0" xfId="0" applyAlignment="1" applyFont="1">
      <alignment vertical="bottom"/>
    </xf>
    <xf borderId="0" fillId="9" fontId="1" numFmtId="0" xfId="0" applyAlignment="1" applyFill="1" applyFont="1">
      <alignment readingOrder="0"/>
    </xf>
    <xf borderId="0" fillId="9" fontId="1" numFmtId="0" xfId="0" applyFont="1"/>
    <xf borderId="0" fillId="9" fontId="8" numFmtId="0" xfId="0" applyFont="1"/>
    <xf borderId="0" fillId="9" fontId="2" numFmtId="0" xfId="0" applyFont="1"/>
    <xf borderId="0" fillId="9" fontId="3" numFmtId="10" xfId="0" applyFont="1" applyNumberFormat="1"/>
    <xf borderId="0" fillId="9" fontId="3" numFmtId="0" xfId="0" applyFont="1"/>
    <xf borderId="0" fillId="0" fontId="2" numFmtId="0" xfId="0" applyAlignment="1" applyFont="1">
      <alignment vertical="bottom"/>
    </xf>
    <xf borderId="0" fillId="6" fontId="2" numFmtId="0" xfId="0" applyAlignment="1" applyFont="1">
      <alignment horizontal="right" vertical="bottom"/>
    </xf>
    <xf borderId="0" fillId="6" fontId="2" numFmtId="0" xfId="0" applyAlignment="1" applyFont="1">
      <alignment horizontal="right" readingOrder="0" vertical="bottom"/>
    </xf>
    <xf borderId="0" fillId="6" fontId="2" numFmtId="1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6" fontId="2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vertical="bottom"/>
    </xf>
    <xf borderId="0" fillId="9" fontId="1" numFmtId="1" xfId="0" applyAlignment="1" applyFont="1" applyNumberFormat="1">
      <alignment horizontal="right" vertical="bottom"/>
    </xf>
    <xf borderId="0" fillId="9" fontId="2" numFmtId="164" xfId="0" applyAlignment="1" applyFont="1" applyNumberFormat="1">
      <alignment vertical="bottom"/>
    </xf>
    <xf borderId="0" fillId="9" fontId="1" numFmtId="0" xfId="0" applyAlignment="1" applyFont="1">
      <alignment horizontal="right" vertical="bottom"/>
    </xf>
    <xf borderId="0" fillId="3" fontId="1" numFmtId="0" xfId="0" applyAlignment="1" applyFont="1">
      <alignment readingOrder="0" vertical="bottom"/>
    </xf>
    <xf borderId="0" fillId="9" fontId="2" numFmtId="1" xfId="0" applyAlignment="1" applyFont="1" applyNumberFormat="1">
      <alignment vertical="bottom"/>
    </xf>
    <xf borderId="0" fillId="9" fontId="2" numFmtId="1" xfId="0" applyAlignment="1" applyFont="1" applyNumberFormat="1">
      <alignment horizontal="right" vertical="bottom"/>
    </xf>
    <xf borderId="0" fillId="9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100000.0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55094.0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0.55094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4"/>
      <c r="I7" s="15"/>
      <c r="K7" s="16"/>
      <c r="L7" s="16"/>
      <c r="M7" s="16"/>
      <c r="N7" s="16"/>
      <c r="O7" s="16"/>
      <c r="P7" s="16"/>
      <c r="Q7" s="16"/>
    </row>
    <row r="8" ht="15.75" customHeight="1">
      <c r="A8" s="17" t="s">
        <v>6</v>
      </c>
      <c r="B8" s="17" t="s">
        <v>7</v>
      </c>
      <c r="C8" s="17" t="s">
        <v>8</v>
      </c>
      <c r="D8" s="17" t="s">
        <v>9</v>
      </c>
      <c r="E8" s="17" t="s">
        <v>10</v>
      </c>
      <c r="F8" s="17" t="s">
        <v>11</v>
      </c>
      <c r="G8" s="17" t="s">
        <v>12</v>
      </c>
      <c r="H8" s="17" t="s">
        <v>13</v>
      </c>
      <c r="I8" s="15"/>
      <c r="K8" s="16"/>
      <c r="L8" s="16"/>
      <c r="M8" s="16"/>
      <c r="N8" s="16"/>
      <c r="O8" s="16"/>
      <c r="P8" s="16"/>
      <c r="Q8" s="16"/>
    </row>
    <row r="9" ht="15.75" customHeight="1">
      <c r="A9" s="18" t="s">
        <v>14</v>
      </c>
      <c r="B9" s="19">
        <v>15.0</v>
      </c>
      <c r="C9" s="19" t="s">
        <v>15</v>
      </c>
      <c r="D9" s="20" t="s">
        <v>16</v>
      </c>
      <c r="E9" s="21">
        <f t="shared" ref="E9:E12" si="1">F9*0.6</f>
        <v>6</v>
      </c>
      <c r="F9" s="22">
        <f t="shared" ref="F9:F12" si="2">MROUND(B9*0.7,5)</f>
        <v>10</v>
      </c>
      <c r="G9" s="19">
        <v>570.0</v>
      </c>
      <c r="H9" s="21">
        <f t="shared" ref="H9:H12" si="3">F9*G9</f>
        <v>5700</v>
      </c>
      <c r="K9" s="16"/>
      <c r="L9" s="23"/>
      <c r="M9" s="23"/>
      <c r="N9" s="7"/>
      <c r="O9" s="24"/>
      <c r="P9" s="23"/>
      <c r="Q9" s="16"/>
    </row>
    <row r="10" ht="15.75" customHeight="1">
      <c r="A10" s="18" t="s">
        <v>14</v>
      </c>
      <c r="B10" s="19">
        <v>15.0</v>
      </c>
      <c r="C10" s="19" t="s">
        <v>15</v>
      </c>
      <c r="D10" s="20" t="s">
        <v>16</v>
      </c>
      <c r="E10" s="21">
        <f t="shared" si="1"/>
        <v>6</v>
      </c>
      <c r="F10" s="22">
        <f t="shared" si="2"/>
        <v>10</v>
      </c>
      <c r="G10" s="19">
        <v>570.0</v>
      </c>
      <c r="H10" s="21">
        <f t="shared" si="3"/>
        <v>5700</v>
      </c>
      <c r="K10" s="16"/>
      <c r="L10" s="25"/>
      <c r="M10" s="25"/>
      <c r="N10" s="26"/>
      <c r="O10" s="24"/>
      <c r="P10" s="24"/>
      <c r="Q10" s="16"/>
    </row>
    <row r="11" ht="15.75" customHeight="1">
      <c r="A11" s="18" t="s">
        <v>14</v>
      </c>
      <c r="B11" s="19">
        <v>35.0</v>
      </c>
      <c r="C11" s="19" t="s">
        <v>15</v>
      </c>
      <c r="D11" s="20" t="s">
        <v>16</v>
      </c>
      <c r="E11" s="21">
        <f t="shared" si="1"/>
        <v>15</v>
      </c>
      <c r="F11" s="22">
        <f t="shared" si="2"/>
        <v>25</v>
      </c>
      <c r="G11" s="19">
        <v>570.0</v>
      </c>
      <c r="H11" s="21">
        <f t="shared" si="3"/>
        <v>14250</v>
      </c>
      <c r="K11" s="16"/>
      <c r="L11" s="25"/>
      <c r="M11" s="25"/>
      <c r="N11" s="26"/>
      <c r="O11" s="24"/>
      <c r="P11" s="24"/>
      <c r="Q11" s="16"/>
    </row>
    <row r="12" ht="15.75" customHeight="1">
      <c r="A12" s="18" t="s">
        <v>14</v>
      </c>
      <c r="B12" s="19">
        <v>35.0</v>
      </c>
      <c r="C12" s="19" t="s">
        <v>15</v>
      </c>
      <c r="D12" s="20" t="s">
        <v>16</v>
      </c>
      <c r="E12" s="21">
        <f t="shared" si="1"/>
        <v>15</v>
      </c>
      <c r="F12" s="22">
        <f t="shared" si="2"/>
        <v>25</v>
      </c>
      <c r="G12" s="19">
        <v>570.0</v>
      </c>
      <c r="H12" s="21">
        <f t="shared" si="3"/>
        <v>14250</v>
      </c>
      <c r="K12" s="16"/>
      <c r="L12" s="25"/>
      <c r="M12" s="25"/>
      <c r="N12" s="26"/>
      <c r="O12" s="24"/>
      <c r="P12" s="24"/>
      <c r="Q12" s="16"/>
    </row>
    <row r="13" ht="15.75" customHeight="1">
      <c r="A13" s="14" t="s">
        <v>17</v>
      </c>
      <c r="B13" s="14"/>
      <c r="C13" s="14"/>
      <c r="D13" s="14"/>
      <c r="E13" s="14">
        <f>sum(E9:E12)</f>
        <v>42</v>
      </c>
      <c r="F13" s="14">
        <f>SUM(F9:F12)</f>
        <v>70</v>
      </c>
      <c r="G13" s="14"/>
      <c r="H13" s="14">
        <f>sum(H9:H12)</f>
        <v>39900</v>
      </c>
      <c r="I13" s="27" t="s">
        <v>18</v>
      </c>
      <c r="J13" s="4"/>
      <c r="K13" s="23"/>
      <c r="L13" s="23"/>
      <c r="M13" s="16"/>
      <c r="N13" s="16"/>
      <c r="O13" s="16"/>
      <c r="P13" s="16"/>
      <c r="Q13" s="16"/>
    </row>
    <row r="14" ht="15.75" customHeight="1">
      <c r="H14" s="28">
        <f>I14*0.925</f>
        <v>41538.05</v>
      </c>
      <c r="I14" s="29">
        <f>H2-H4</f>
        <v>44906</v>
      </c>
      <c r="J14" s="4"/>
      <c r="K14" s="23"/>
      <c r="L14" s="23"/>
      <c r="M14" s="16"/>
      <c r="N14" s="16"/>
      <c r="O14" s="16"/>
      <c r="P14" s="16"/>
      <c r="Q14" s="16"/>
    </row>
    <row r="15" ht="15.75" customHeight="1">
      <c r="G15" s="30" t="s">
        <v>19</v>
      </c>
      <c r="H15" s="31">
        <f>H14-H13</f>
        <v>1638.05</v>
      </c>
      <c r="J15" s="4"/>
      <c r="K15" s="4"/>
      <c r="L15" s="4"/>
    </row>
    <row r="16" ht="15.75" customHeight="1">
      <c r="A16" s="32" t="s">
        <v>20</v>
      </c>
      <c r="B16" s="32"/>
      <c r="C16" s="32"/>
      <c r="D16" s="32"/>
      <c r="E16" s="32"/>
      <c r="F16" s="33"/>
      <c r="G16" s="33"/>
      <c r="H16" s="34"/>
      <c r="J16" s="4"/>
      <c r="K16" s="4"/>
      <c r="L16" s="4"/>
    </row>
    <row r="17" ht="15.75" customHeight="1">
      <c r="A17" s="32"/>
      <c r="B17" s="32"/>
      <c r="C17" s="32"/>
      <c r="D17" s="32"/>
      <c r="E17" s="33" t="s">
        <v>21</v>
      </c>
      <c r="F17" s="33" t="s">
        <v>22</v>
      </c>
      <c r="G17" s="33" t="s">
        <v>23</v>
      </c>
      <c r="H17" s="34"/>
      <c r="J17" s="4"/>
      <c r="K17" s="4"/>
      <c r="L17" s="4"/>
    </row>
    <row r="18" ht="15.75" customHeight="1">
      <c r="A18" s="32"/>
      <c r="B18" s="32"/>
      <c r="C18" s="32"/>
      <c r="D18" s="32"/>
      <c r="E18" s="32">
        <f t="shared" ref="E18:F18" si="4">E13*1000</f>
        <v>42000</v>
      </c>
      <c r="F18" s="35">
        <f t="shared" si="4"/>
        <v>70000</v>
      </c>
      <c r="G18" s="35">
        <f>(H2/F18)*1000</f>
        <v>1428.571429</v>
      </c>
      <c r="H18" s="34"/>
      <c r="J18" s="4"/>
      <c r="K18" s="4"/>
      <c r="L18" s="4"/>
    </row>
    <row r="19" ht="15.75" customHeight="1">
      <c r="A19" s="6"/>
      <c r="B19" s="4"/>
      <c r="C19" s="4"/>
      <c r="D19" s="4"/>
      <c r="E19" s="4"/>
      <c r="F19" s="4"/>
      <c r="G19" s="36"/>
      <c r="H19" s="37"/>
      <c r="I19" s="4"/>
      <c r="J19" s="4"/>
      <c r="K19" s="4"/>
      <c r="L19" s="4"/>
    </row>
    <row r="20" ht="15.75" customHeight="1">
      <c r="A20" s="38" t="s">
        <v>24</v>
      </c>
      <c r="B20" s="39"/>
      <c r="C20" s="39"/>
      <c r="D20" s="39"/>
      <c r="E20" s="40"/>
      <c r="F20" s="40"/>
      <c r="G20" s="40"/>
      <c r="H20" s="40"/>
      <c r="I20" s="4"/>
      <c r="J20" s="4"/>
      <c r="K20" s="4"/>
      <c r="L20" s="4"/>
    </row>
    <row r="21" ht="15.75" customHeight="1">
      <c r="A21" s="41" t="s">
        <v>25</v>
      </c>
      <c r="B21" s="42"/>
      <c r="C21" s="42"/>
      <c r="D21" s="42"/>
      <c r="E21" s="42"/>
      <c r="F21" s="42"/>
      <c r="G21" s="42"/>
      <c r="H21" s="43">
        <f>H2*0.15</f>
        <v>15000</v>
      </c>
      <c r="I21" s="18" t="s">
        <v>26</v>
      </c>
    </row>
    <row r="22" ht="15.75" customHeight="1">
      <c r="A22" s="44" t="s">
        <v>4</v>
      </c>
      <c r="B22" s="42"/>
      <c r="C22" s="42"/>
      <c r="D22" s="42"/>
      <c r="E22" s="42"/>
      <c r="F22" s="42"/>
      <c r="G22" s="42"/>
      <c r="H22" s="45"/>
    </row>
    <row r="23" ht="15.75" customHeight="1">
      <c r="A23" s="42"/>
      <c r="B23" s="46" t="s">
        <v>27</v>
      </c>
      <c r="C23" s="46" t="s">
        <v>28</v>
      </c>
      <c r="D23" s="46" t="s">
        <v>29</v>
      </c>
      <c r="E23" s="46" t="s">
        <v>21</v>
      </c>
      <c r="F23" s="46" t="s">
        <v>22</v>
      </c>
      <c r="G23" s="46" t="s">
        <v>30</v>
      </c>
      <c r="H23" s="42"/>
      <c r="K23" s="16"/>
      <c r="L23" s="16"/>
      <c r="M23" s="16"/>
      <c r="N23" s="16"/>
      <c r="O23" s="16"/>
      <c r="P23" s="16"/>
      <c r="Q23" s="16"/>
    </row>
    <row r="24" ht="15.75" customHeight="1">
      <c r="A24" s="47" t="s">
        <v>31</v>
      </c>
      <c r="B24" s="48">
        <v>0.5</v>
      </c>
      <c r="C24" s="49">
        <v>990.0</v>
      </c>
      <c r="D24" s="47"/>
      <c r="E24" s="50"/>
      <c r="F24" s="50"/>
      <c r="G24" s="7"/>
      <c r="H24" s="51">
        <f>B24*C24*B25</f>
        <v>1980</v>
      </c>
      <c r="I24" s="47"/>
      <c r="J24" s="47"/>
      <c r="K24" s="52"/>
      <c r="L24" s="52"/>
      <c r="M24" s="52"/>
      <c r="N24" s="52"/>
      <c r="O24" s="52"/>
      <c r="P24" s="52"/>
      <c r="Q24" s="52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 ht="15.75" customHeight="1">
      <c r="A25" s="22" t="s">
        <v>32</v>
      </c>
      <c r="B25" s="19">
        <v>4.0</v>
      </c>
      <c r="C25" s="22">
        <v>2000.0</v>
      </c>
      <c r="D25" s="21"/>
      <c r="E25" s="21"/>
      <c r="F25" s="21"/>
      <c r="G25" s="21"/>
      <c r="H25" s="21">
        <f>B25*C25</f>
        <v>8000</v>
      </c>
      <c r="K25" s="16"/>
      <c r="L25" s="16"/>
      <c r="M25" s="16"/>
      <c r="N25" s="16"/>
      <c r="O25" s="16"/>
      <c r="P25" s="16"/>
      <c r="Q25" s="16"/>
    </row>
    <row r="26" ht="15.75" customHeight="1">
      <c r="A26" s="22" t="s">
        <v>33</v>
      </c>
      <c r="B26" s="21"/>
      <c r="C26" s="21"/>
      <c r="D26" s="22" t="s">
        <v>34</v>
      </c>
      <c r="E26" s="53">
        <f t="shared" ref="E26:E28" si="5">F26*0.25</f>
        <v>74375</v>
      </c>
      <c r="F26" s="53">
        <f t="shared" ref="F26:F27" si="6">sum(1000*H26)/G26*0.85</f>
        <v>297500</v>
      </c>
      <c r="G26" s="26">
        <v>20.0</v>
      </c>
      <c r="H26" s="37">
        <f>H21-H25</f>
        <v>7000</v>
      </c>
      <c r="K26" s="16"/>
      <c r="L26" s="16"/>
      <c r="M26" s="16"/>
      <c r="N26" s="16"/>
      <c r="O26" s="16"/>
      <c r="P26" s="16"/>
      <c r="Q26" s="16"/>
    </row>
    <row r="27" ht="15.75" customHeight="1">
      <c r="A27" s="22" t="s">
        <v>35</v>
      </c>
      <c r="B27" s="21"/>
      <c r="C27" s="21"/>
      <c r="D27" s="22" t="s">
        <v>34</v>
      </c>
      <c r="E27" s="53">
        <f t="shared" si="5"/>
        <v>0</v>
      </c>
      <c r="F27" s="53">
        <f t="shared" si="6"/>
        <v>0</v>
      </c>
      <c r="G27" s="26">
        <v>15.0</v>
      </c>
      <c r="H27" s="37">
        <v>0.0</v>
      </c>
      <c r="I27" s="24"/>
      <c r="K27" s="16"/>
      <c r="L27" s="16"/>
      <c r="M27" s="16"/>
      <c r="N27" s="16"/>
      <c r="O27" s="16"/>
      <c r="P27" s="16"/>
      <c r="Q27" s="16"/>
    </row>
    <row r="28" ht="15.75" customHeight="1">
      <c r="A28" s="42" t="s">
        <v>17</v>
      </c>
      <c r="B28" s="42"/>
      <c r="C28" s="42"/>
      <c r="D28" s="42"/>
      <c r="E28" s="54">
        <f t="shared" si="5"/>
        <v>74.375</v>
      </c>
      <c r="F28" s="55">
        <f>sum(F25:F27)/1000</f>
        <v>297.5</v>
      </c>
      <c r="G28" s="56"/>
      <c r="H28" s="57">
        <f>sum(H24:H27)</f>
        <v>16980</v>
      </c>
      <c r="I28" s="58" t="s">
        <v>36</v>
      </c>
      <c r="K28" s="16"/>
      <c r="L28" s="16"/>
      <c r="M28" s="16"/>
      <c r="N28" s="16"/>
      <c r="O28" s="16"/>
      <c r="P28" s="16"/>
      <c r="Q28" s="16"/>
    </row>
    <row r="29" ht="15.75" customHeight="1">
      <c r="A29" s="46" t="s">
        <v>4</v>
      </c>
      <c r="B29" s="42"/>
      <c r="C29" s="42"/>
      <c r="D29" s="42"/>
      <c r="E29" s="59"/>
      <c r="F29" s="60"/>
      <c r="G29" s="56"/>
      <c r="H29" s="61"/>
      <c r="I29" s="23"/>
      <c r="K29" s="16"/>
      <c r="L29" s="16"/>
      <c r="M29" s="16"/>
      <c r="N29" s="16"/>
      <c r="O29" s="16"/>
      <c r="P29" s="16"/>
      <c r="Q29" s="1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