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alkylmall Org." sheetId="1" r:id="rId4"/>
    <sheet state="hidden" name="UK" sheetId="2" r:id="rId5"/>
    <sheet state="visible" name="600K" sheetId="3" r:id="rId6"/>
    <sheet state="visible" name="1.2M" sheetId="4" r:id="rId7"/>
    <sheet state="visible" name="2M" sheetId="5" r:id="rId8"/>
  </sheets>
  <definedNames/>
  <calcPr/>
  <extLst>
    <ext uri="GoogleSheetsCustomDataVersion2">
      <go:sheetsCustomData xmlns:go="http://customooxmlschemas.google.com/" r:id="rId9" roundtripDataChecksum="B2pS1HEICu3KX9wCPlUVSDd/3Knr316F4oj19hLd5Sg="/>
    </ext>
  </extLst>
</workbook>
</file>

<file path=xl/sharedStrings.xml><?xml version="1.0" encoding="utf-8"?>
<sst xmlns="http://schemas.openxmlformats.org/spreadsheetml/2006/main" count="407" uniqueCount="56">
  <si>
    <t>Valuta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</si>
  <si>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</si>
  <si>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</si>
  <si>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</si>
  <si>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</si>
  <si>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</si>
  <si>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</si>
  <si>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</si>
  <si>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</si>
  <si>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</si>
  <si>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</si>
  <si>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</si>
  <si>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</si>
  <si>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</si>
  <si>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Profile á xxK</t>
  </si>
  <si>
    <t>Total</t>
  </si>
  <si>
    <t>inkl 7,5%</t>
  </si>
  <si>
    <t>TOTAL CAMPAIGN</t>
  </si>
  <si>
    <t>Reach</t>
  </si>
  <si>
    <t>Impressions</t>
  </si>
  <si>
    <t>CPM</t>
  </si>
  <si>
    <t>KONTROLL</t>
  </si>
  <si>
    <t>Paid</t>
  </si>
  <si>
    <t>Antal annonser</t>
  </si>
  <si>
    <t>Pris per annons</t>
  </si>
  <si>
    <t>Målsättning</t>
  </si>
  <si>
    <t>CPM (paid)</t>
  </si>
  <si>
    <t>SmartOn/Nine Agency hantering</t>
  </si>
  <si>
    <t>Media spend Meta</t>
  </si>
  <si>
    <t>räckvidd</t>
  </si>
  <si>
    <t>Media spend TikTok</t>
  </si>
  <si>
    <t>Profiles – UK</t>
  </si>
  <si>
    <t>UK</t>
  </si>
  <si>
    <t>TikTok</t>
  </si>
  <si>
    <t>Instagram</t>
  </si>
  <si>
    <t>7-30 dagar</t>
  </si>
  <si>
    <t>Diff</t>
  </si>
  <si>
    <t>Profiles – USA</t>
  </si>
  <si>
    <t>USA</t>
  </si>
  <si>
    <t>UK (vici</t>
  </si>
  <si>
    <t xml:space="preserve">UK Media spend Meta </t>
  </si>
  <si>
    <t>UK Media spend Tiktok</t>
  </si>
  <si>
    <t>US Media spend Meta</t>
  </si>
  <si>
    <t>US Media spend TikTok</t>
  </si>
  <si>
    <t>Etoro bas -30%</t>
  </si>
  <si>
    <t>Eget estimat</t>
  </si>
  <si>
    <t>USA/</t>
  </si>
  <si>
    <t>från deanna</t>
  </si>
  <si>
    <t>ink rättigheter</t>
  </si>
  <si>
    <t>Profile fee</t>
  </si>
  <si>
    <t>UK TikTok</t>
  </si>
  <si>
    <t>UK Instagram</t>
  </si>
  <si>
    <t>US TikTok</t>
  </si>
  <si>
    <t>US Instagram</t>
  </si>
  <si>
    <t>Nine-arvode</t>
  </si>
  <si>
    <t>Total profile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</si>
</sst>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0"/>
  </numFmts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color theme="1"/>
      <name val="Arial"/>
      <scheme val="minor"/>
    </font>
    <font>
      <i/>
      <color rgb="FF666666"/>
      <name val="Arial"/>
    </font>
    <font>
      <color rgb="FFE06666"/>
      <name val="Arial"/>
    </font>
    <font>
      <color rgb="FF3D85C6"/>
      <name val="Arial"/>
    </font>
    <font>
      <b/>
      <color rgb="FF666666"/>
      <name val="Arial"/>
    </font>
    <font>
      <color rgb="FF666666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0" fontId="1" numFmtId="0" xfId="0" applyFont="1"/>
    <xf borderId="0" fillId="3" fontId="2" numFmtId="0" xfId="0" applyFont="1"/>
    <xf borderId="0" fillId="5" fontId="3" numFmtId="0" xfId="0" applyFont="1"/>
    <xf borderId="0" fillId="0" fontId="2" numFmtId="0" xfId="0" applyFont="1"/>
    <xf borderId="0" fillId="6" fontId="2" numFmtId="0" xfId="0" applyFill="1" applyFont="1"/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Font="1"/>
    <xf borderId="0" fillId="7" fontId="1" numFmtId="0" xfId="0" applyFill="1" applyFont="1"/>
    <xf borderId="0" fillId="7" fontId="3" numFmtId="0" xfId="0" applyFont="1"/>
    <xf borderId="0" fillId="7" fontId="2" numFmtId="0" xfId="0" applyFont="1"/>
    <xf borderId="0" fillId="7" fontId="6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8" fontId="1" numFmtId="0" xfId="0" applyFill="1" applyFont="1"/>
    <xf borderId="0" fillId="8" fontId="2" numFmtId="0" xfId="0" applyFont="1"/>
    <xf borderId="0" fillId="8" fontId="3" numFmtId="10" xfId="0" applyFont="1" applyNumberFormat="1"/>
    <xf borderId="0" fillId="8" fontId="3" numFmtId="0" xfId="0" applyFont="1"/>
    <xf borderId="0" fillId="6" fontId="2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vertical="bottom"/>
    </xf>
    <xf borderId="0" fillId="8" fontId="1" numFmtId="1" xfId="0" applyAlignment="1" applyFont="1" applyNumberFormat="1">
      <alignment horizontal="right" vertical="bottom"/>
    </xf>
    <xf borderId="0" fillId="8" fontId="2" numFmtId="164" xfId="0" applyAlignment="1" applyFont="1" applyNumberFormat="1">
      <alignment vertical="bottom"/>
    </xf>
    <xf borderId="0" fillId="8" fontId="1" numFmtId="0" xfId="0" applyAlignment="1" applyFont="1">
      <alignment horizontal="right" vertical="bottom"/>
    </xf>
    <xf borderId="0" fillId="8" fontId="2" numFmtId="1" xfId="0" applyAlignment="1" applyFont="1" applyNumberFormat="1">
      <alignment vertical="bottom"/>
    </xf>
    <xf borderId="0" fillId="8" fontId="2" numFmtId="1" xfId="0" applyAlignment="1" applyFont="1" applyNumberFormat="1">
      <alignment horizontal="right" vertical="bottom"/>
    </xf>
    <xf borderId="0" fillId="8" fontId="3" numFmtId="0" xfId="0" applyAlignment="1" applyFont="1">
      <alignment horizontal="right" vertical="bottom"/>
    </xf>
    <xf borderId="0" fillId="5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1" xfId="0" applyAlignment="1" applyFont="1" applyNumberFormat="1">
      <alignment horizontal="right" vertical="bottom"/>
    </xf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7" numFmtId="0" xfId="0" applyFont="1"/>
    <xf borderId="0" fillId="0" fontId="3" numFmtId="0" xfId="0" applyAlignment="1" applyFont="1">
      <alignment vertical="bottom"/>
    </xf>
    <xf borderId="0" fillId="4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6" fontId="9" numFmtId="0" xfId="0" applyFont="1"/>
    <xf borderId="0" fillId="0" fontId="9" numFmtId="0" xfId="0" applyFont="1"/>
    <xf borderId="0" fillId="6" fontId="9" numFmtId="1" xfId="0" applyAlignment="1" applyFont="1" applyNumberFormat="1">
      <alignment horizontal="right" vertical="bottom"/>
    </xf>
    <xf borderId="0" fillId="3" fontId="9" numFmtId="164" xfId="0" applyAlignment="1" applyFont="1" applyNumberFormat="1">
      <alignment horizontal="right" readingOrder="0"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readingOrder="0" vertical="bottom"/>
    </xf>
    <xf borderId="0" fillId="6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6" fontId="10" numFmtId="1" xfId="0" applyAlignment="1" applyFont="1" applyNumberFormat="1">
      <alignment horizontal="right" vertical="bottom"/>
    </xf>
    <xf borderId="0" fillId="3" fontId="10" numFmtId="164" xfId="0" applyAlignment="1" applyFont="1" applyNumberFormat="1">
      <alignment horizontal="right" readingOrder="0" vertical="bottom"/>
    </xf>
    <xf borderId="0" fillId="0" fontId="10" numFmtId="0" xfId="0" applyAlignment="1" applyFont="1">
      <alignment horizontal="right" vertical="bottom"/>
    </xf>
    <xf borderId="0" fillId="3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6" fontId="10" numFmtId="0" xfId="0" applyFont="1"/>
    <xf borderId="0" fillId="0" fontId="10" numFmtId="0" xfId="0" applyFont="1"/>
    <xf borderId="0" fillId="3" fontId="11" numFmtId="0" xfId="0" applyAlignment="1" applyFont="1">
      <alignment readingOrder="0"/>
    </xf>
    <xf borderId="0" fillId="0" fontId="11" numFmtId="0" xfId="0" applyFont="1"/>
    <xf borderId="0" fillId="0" fontId="11" numFmtId="1" xfId="0" applyAlignment="1" applyFont="1" applyNumberFormat="1">
      <alignment horizontal="right" vertical="bottom"/>
    </xf>
    <xf borderId="0" fillId="3" fontId="1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5" fontId="3" numFmtId="0" xfId="0" applyAlignment="1" applyFont="1">
      <alignment readingOrder="0"/>
    </xf>
    <xf borderId="0" fillId="3" fontId="9" numFmtId="0" xfId="0" applyFont="1"/>
    <xf borderId="0" fillId="0" fontId="9" numFmtId="1" xfId="0" applyAlignment="1" applyFont="1" applyNumberFormat="1">
      <alignment readingOrder="0"/>
    </xf>
    <xf borderId="0" fillId="3" fontId="10" numFmtId="0" xfId="0" applyFont="1"/>
    <xf borderId="0" fillId="7" fontId="2" numFmtId="0" xfId="0" applyAlignment="1" applyFont="1">
      <alignment readingOrder="0"/>
    </xf>
    <xf borderId="0" fillId="7" fontId="1" numFmtId="0" xfId="0" applyAlignment="1" applyFont="1">
      <alignment readingOrder="0"/>
    </xf>
    <xf borderId="0" fillId="9" fontId="1" numFmtId="0" xfId="0" applyAlignment="1" applyFill="1" applyFont="1">
      <alignment readingOrder="0" vertical="bottom"/>
    </xf>
    <xf borderId="0" fillId="9" fontId="2" numFmtId="0" xfId="0" applyAlignment="1" applyFont="1">
      <alignment vertical="bottom"/>
    </xf>
    <xf borderId="0" fillId="9" fontId="3" numFmtId="0" xfId="0" applyAlignment="1" applyFont="1">
      <alignment vertical="bottom"/>
    </xf>
    <xf borderId="0" fillId="9" fontId="1" numFmtId="1" xfId="0" applyAlignment="1" applyFont="1" applyNumberFormat="1">
      <alignment horizontal="right" vertical="bottom"/>
    </xf>
    <xf borderId="0" fillId="10" fontId="1" numFmtId="0" xfId="0" applyAlignment="1" applyFill="1" applyFont="1">
      <alignment readingOrder="0" vertical="bottom"/>
    </xf>
    <xf borderId="0" fillId="10" fontId="6" numFmtId="0" xfId="0" applyAlignment="1" applyFont="1">
      <alignment vertical="bottom"/>
    </xf>
    <xf borderId="0" fillId="10" fontId="2" numFmtId="0" xfId="0" applyAlignment="1" applyFont="1">
      <alignment vertical="bottom"/>
    </xf>
    <xf borderId="0" fillId="10" fontId="1" numFmtId="1" xfId="0" applyAlignment="1" applyFont="1" applyNumberFormat="1">
      <alignment horizontal="right" vertical="bottom"/>
    </xf>
    <xf borderId="0" fillId="7" fontId="6" numFmtId="1" xfId="0" applyFont="1" applyNumberFormat="1"/>
    <xf borderId="0" fillId="8" fontId="1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horizontal="right" vertical="bottom"/>
    </xf>
    <xf borderId="0" fillId="3" fontId="9" numFmtId="0" xfId="0" applyAlignment="1" applyFont="1">
      <alignment vertical="bottom"/>
    </xf>
    <xf borderId="0" fillId="6" fontId="9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readingOrder="0" vertical="bottom"/>
    </xf>
    <xf borderId="0" fillId="0" fontId="10" numFmtId="0" xfId="0" applyAlignment="1" applyFont="1">
      <alignment horizontal="right" vertical="bottom"/>
    </xf>
    <xf borderId="0" fillId="3" fontId="10" numFmtId="0" xfId="0" applyAlignment="1" applyFont="1">
      <alignment vertical="bottom"/>
    </xf>
    <xf borderId="0" fillId="6" fontId="10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8" fontId="1" numFmtId="0" xfId="0" applyFont="1"/>
    <xf borderId="0" fillId="0" fontId="9" numFmtId="1" xfId="0" applyFont="1" applyNumberFormat="1"/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1">
        <v>0.0</v>
      </c>
      <c r="I2" s="4"/>
      <c r="J2" s="4"/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J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7">
        <v>0.0</v>
      </c>
    </row>
    <row r="5" ht="15.75" customHeight="1">
      <c r="A5" s="9" t="s">
        <v>4</v>
      </c>
      <c r="B5" s="8"/>
      <c r="C5" s="8"/>
      <c r="D5" s="8"/>
      <c r="E5" s="8"/>
      <c r="F5" s="8"/>
      <c r="G5" s="8"/>
      <c r="H5" s="10" t="str">
        <f>H4/H2</f>
        <v>#DIV/0!</v>
      </c>
    </row>
    <row r="6" ht="15.75" customHeight="1">
      <c r="H6" s="11"/>
    </row>
    <row r="7" ht="15.75" customHeight="1">
      <c r="A7" s="12" t="s">
        <v>5</v>
      </c>
      <c r="B7" s="12"/>
      <c r="C7" s="12"/>
      <c r="D7" s="12"/>
      <c r="E7" s="12"/>
      <c r="F7" s="12"/>
      <c r="G7" s="12"/>
      <c r="H7" s="12"/>
      <c r="I7" s="13"/>
      <c r="K7" s="14"/>
      <c r="L7" s="14"/>
      <c r="M7" s="14"/>
      <c r="N7" s="14"/>
      <c r="O7" s="14"/>
      <c r="P7" s="14"/>
      <c r="Q7" s="14"/>
    </row>
    <row r="8" ht="15.75" customHeight="1">
      <c r="A8" s="15" t="s">
        <v>6</v>
      </c>
      <c r="B8" s="15" t="s">
        <v>7</v>
      </c>
      <c r="C8" s="15" t="s">
        <v>8</v>
      </c>
      <c r="D8" s="15" t="s">
        <v>9</v>
      </c>
      <c r="E8" s="15" t="s">
        <v>10</v>
      </c>
      <c r="F8" s="15" t="s">
        <v>11</v>
      </c>
      <c r="G8" s="15" t="s">
        <v>12</v>
      </c>
      <c r="H8" s="15" t="s">
        <v>13</v>
      </c>
      <c r="I8" s="13"/>
      <c r="K8" s="14"/>
      <c r="L8" s="14"/>
      <c r="M8" s="14"/>
      <c r="N8" s="14"/>
      <c r="O8" s="14"/>
      <c r="P8" s="14"/>
      <c r="Q8" s="14"/>
    </row>
    <row r="9" ht="15.75" customHeight="1">
      <c r="B9" s="16" t="s">
        <v>14</v>
      </c>
      <c r="C9" s="16"/>
      <c r="D9" s="14"/>
      <c r="E9" s="17">
        <f t="shared" ref="E9:E14" si="1">F9*0.6</f>
        <v>0</v>
      </c>
      <c r="F9" s="16">
        <v>0.0</v>
      </c>
      <c r="G9" s="16">
        <v>400.0</v>
      </c>
      <c r="H9" s="17">
        <f t="shared" ref="H9:H14" si="2">F9*G9</f>
        <v>0</v>
      </c>
      <c r="K9" s="14"/>
      <c r="L9" s="18"/>
      <c r="M9" s="18"/>
      <c r="N9" s="6"/>
      <c r="O9" s="19"/>
      <c r="P9" s="18"/>
      <c r="Q9" s="14"/>
    </row>
    <row r="10" ht="15.75" customHeight="1">
      <c r="B10" s="16" t="s">
        <v>14</v>
      </c>
      <c r="C10" s="16"/>
      <c r="D10" s="14"/>
      <c r="E10" s="17">
        <f t="shared" si="1"/>
        <v>0</v>
      </c>
      <c r="F10" s="16">
        <v>0.0</v>
      </c>
      <c r="G10" s="16">
        <v>400.0</v>
      </c>
      <c r="H10" s="17">
        <f t="shared" si="2"/>
        <v>0</v>
      </c>
      <c r="K10" s="14"/>
      <c r="L10" s="20"/>
      <c r="M10" s="20"/>
      <c r="N10" s="21"/>
      <c r="O10" s="19"/>
      <c r="P10" s="19"/>
      <c r="Q10" s="14"/>
    </row>
    <row r="11" ht="15.75" customHeight="1">
      <c r="B11" s="16" t="s">
        <v>14</v>
      </c>
      <c r="C11" s="16"/>
      <c r="D11" s="14"/>
      <c r="E11" s="17">
        <f t="shared" si="1"/>
        <v>0</v>
      </c>
      <c r="F11" s="16">
        <v>0.0</v>
      </c>
      <c r="G11" s="16">
        <v>400.0</v>
      </c>
      <c r="H11" s="17">
        <f t="shared" si="2"/>
        <v>0</v>
      </c>
      <c r="K11" s="14"/>
      <c r="L11" s="20"/>
      <c r="M11" s="20"/>
      <c r="N11" s="21"/>
      <c r="O11" s="19"/>
      <c r="P11" s="19"/>
      <c r="Q11" s="14"/>
    </row>
    <row r="12" ht="15.75" customHeight="1">
      <c r="B12" s="16" t="s">
        <v>14</v>
      </c>
      <c r="C12" s="16"/>
      <c r="D12" s="14"/>
      <c r="E12" s="17">
        <f t="shared" si="1"/>
        <v>0</v>
      </c>
      <c r="F12" s="16">
        <v>0.0</v>
      </c>
      <c r="G12" s="16">
        <v>300.0</v>
      </c>
      <c r="H12" s="17">
        <f t="shared" si="2"/>
        <v>0</v>
      </c>
      <c r="K12" s="14"/>
      <c r="L12" s="22"/>
      <c r="M12" s="20"/>
      <c r="N12" s="6"/>
      <c r="O12" s="19"/>
      <c r="P12" s="18"/>
      <c r="Q12" s="14"/>
    </row>
    <row r="13" ht="15.75" customHeight="1">
      <c r="B13" s="16" t="s">
        <v>14</v>
      </c>
      <c r="C13" s="16"/>
      <c r="D13" s="14"/>
      <c r="E13" s="17">
        <f t="shared" si="1"/>
        <v>0</v>
      </c>
      <c r="F13" s="16">
        <v>0.0</v>
      </c>
      <c r="G13" s="16">
        <v>300.0</v>
      </c>
      <c r="H13" s="17">
        <f t="shared" si="2"/>
        <v>0</v>
      </c>
      <c r="J13" s="4"/>
      <c r="K13" s="23"/>
      <c r="L13" s="19"/>
      <c r="M13" s="14"/>
      <c r="N13" s="14"/>
      <c r="O13" s="14"/>
      <c r="P13" s="14"/>
      <c r="Q13" s="14"/>
    </row>
    <row r="14" ht="15.75" customHeight="1">
      <c r="B14" s="16" t="s">
        <v>14</v>
      </c>
      <c r="C14" s="16"/>
      <c r="D14" s="14"/>
      <c r="E14" s="17">
        <f t="shared" si="1"/>
        <v>0</v>
      </c>
      <c r="F14" s="16">
        <v>0.0</v>
      </c>
      <c r="G14" s="16">
        <v>300.0</v>
      </c>
      <c r="H14" s="17">
        <f t="shared" si="2"/>
        <v>0</v>
      </c>
      <c r="J14" s="4"/>
      <c r="K14" s="18"/>
      <c r="L14" s="18"/>
      <c r="M14" s="14"/>
      <c r="N14" s="14"/>
      <c r="O14" s="14"/>
      <c r="P14" s="14"/>
      <c r="Q14" s="14"/>
    </row>
    <row r="15" ht="15.75" customHeight="1">
      <c r="A15" s="12" t="s">
        <v>15</v>
      </c>
      <c r="B15" s="12"/>
      <c r="C15" s="12"/>
      <c r="D15" s="12"/>
      <c r="E15" s="12">
        <f>sum(E9:E14)</f>
        <v>0</v>
      </c>
      <c r="F15" s="12">
        <f>SUM(F9:F14)</f>
        <v>0</v>
      </c>
      <c r="G15" s="12"/>
      <c r="H15" s="12">
        <f>sum(H9:H14)</f>
        <v>0</v>
      </c>
      <c r="I15" s="24" t="s">
        <v>16</v>
      </c>
      <c r="J15" s="4"/>
      <c r="K15" s="18"/>
      <c r="L15" s="18"/>
      <c r="M15" s="14"/>
      <c r="N15" s="14"/>
      <c r="O15" s="14"/>
      <c r="P15" s="14"/>
      <c r="Q15" s="14"/>
    </row>
    <row r="16" ht="15.75" customHeight="1">
      <c r="H16" s="25">
        <f>I16*0.925</f>
        <v>0</v>
      </c>
      <c r="I16" s="26">
        <f>H2-H4</f>
        <v>0</v>
      </c>
      <c r="J16" s="4"/>
      <c r="K16" s="18"/>
      <c r="L16" s="18"/>
      <c r="M16" s="14"/>
      <c r="N16" s="14"/>
      <c r="O16" s="14"/>
      <c r="P16" s="14"/>
      <c r="Q16" s="14"/>
    </row>
    <row r="17" ht="15.75" customHeight="1">
      <c r="J17" s="4"/>
      <c r="K17" s="4"/>
      <c r="L17" s="4"/>
    </row>
    <row r="18" ht="15.75" customHeight="1">
      <c r="A18" s="27" t="s">
        <v>17</v>
      </c>
      <c r="B18" s="27"/>
      <c r="C18" s="27"/>
      <c r="D18" s="27"/>
      <c r="E18" s="27"/>
      <c r="F18" s="28"/>
      <c r="G18" s="28"/>
      <c r="H18" s="29"/>
      <c r="J18" s="4"/>
      <c r="K18" s="4"/>
      <c r="L18" s="4"/>
    </row>
    <row r="19" ht="15.75" customHeight="1">
      <c r="A19" s="27"/>
      <c r="B19" s="27"/>
      <c r="C19" s="27"/>
      <c r="D19" s="27"/>
      <c r="E19" s="28" t="s">
        <v>18</v>
      </c>
      <c r="F19" s="28" t="s">
        <v>19</v>
      </c>
      <c r="G19" s="28" t="s">
        <v>20</v>
      </c>
      <c r="H19" s="29"/>
      <c r="J19" s="4"/>
      <c r="K19" s="4"/>
      <c r="L19" s="4"/>
    </row>
    <row r="20" ht="15.75" customHeight="1">
      <c r="A20" s="27"/>
      <c r="B20" s="27"/>
      <c r="C20" s="27"/>
      <c r="D20" s="27"/>
      <c r="E20" s="27">
        <f t="shared" ref="E20:F20" si="3">E15*1000</f>
        <v>0</v>
      </c>
      <c r="F20" s="30">
        <f t="shared" si="3"/>
        <v>0</v>
      </c>
      <c r="G20" s="30" t="str">
        <f>(H2/F20)*1000</f>
        <v>#DIV/0!</v>
      </c>
      <c r="H20" s="29"/>
      <c r="J20" s="4"/>
      <c r="K20" s="4"/>
      <c r="L20" s="4"/>
    </row>
    <row r="21" ht="15.75" customHeight="1">
      <c r="A21" s="5"/>
      <c r="B21" s="4"/>
      <c r="C21" s="4"/>
      <c r="D21" s="4"/>
      <c r="E21" s="4"/>
      <c r="F21" s="4"/>
      <c r="G21" s="31"/>
      <c r="H21" s="32"/>
      <c r="I21" s="4"/>
      <c r="J21" s="4"/>
      <c r="K21" s="4"/>
      <c r="L21" s="4"/>
    </row>
    <row r="22" ht="15.75" customHeight="1">
      <c r="A22" s="4"/>
      <c r="B22" s="33"/>
      <c r="C22" s="33"/>
      <c r="D22" s="33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5"/>
      <c r="B26" s="4"/>
      <c r="C26" s="4"/>
      <c r="D26" s="4"/>
      <c r="E26" s="5"/>
      <c r="F26" s="5"/>
      <c r="G26" s="5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5"/>
      <c r="B30" s="32"/>
      <c r="C30" s="32"/>
      <c r="D30" s="32"/>
      <c r="E30" s="4"/>
      <c r="F30" s="4"/>
      <c r="G30" s="4"/>
      <c r="H30" s="4"/>
      <c r="I30" s="4"/>
      <c r="J30" s="4"/>
      <c r="K30" s="4"/>
      <c r="L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34" t="s">
        <v>21</v>
      </c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35">
        <v>600000.0</v>
      </c>
      <c r="I2" s="4"/>
      <c r="J2" s="4">
        <f>H4+H13+I25+I36</f>
        <v>600000</v>
      </c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J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7">
        <v>180000.0</v>
      </c>
      <c r="I4" s="16">
        <f>H2*0.3</f>
        <v>180000</v>
      </c>
    </row>
    <row r="5" ht="15.75" customHeight="1">
      <c r="A5" s="9" t="s">
        <v>4</v>
      </c>
      <c r="B5" s="8"/>
      <c r="C5" s="8"/>
      <c r="D5" s="8"/>
      <c r="E5" s="8"/>
      <c r="F5" s="8"/>
      <c r="G5" s="8"/>
      <c r="H5" s="10">
        <f>H4/H2</f>
        <v>0.3</v>
      </c>
    </row>
    <row r="6" ht="15.75" customHeight="1">
      <c r="H6" s="11"/>
    </row>
    <row r="7" ht="15.75" customHeight="1">
      <c r="A7" s="36" t="s">
        <v>22</v>
      </c>
      <c r="B7" s="36"/>
      <c r="C7" s="36"/>
      <c r="D7" s="36"/>
      <c r="E7" s="36"/>
      <c r="F7" s="36"/>
      <c r="G7" s="36"/>
      <c r="H7" s="36">
        <f>H2*0.15</f>
        <v>90000</v>
      </c>
    </row>
    <row r="8" ht="15.75" customHeight="1">
      <c r="A8" s="37" t="s">
        <v>4</v>
      </c>
      <c r="B8" s="36"/>
      <c r="C8" s="36"/>
      <c r="D8" s="36"/>
      <c r="E8" s="36"/>
      <c r="F8" s="36"/>
      <c r="G8" s="36"/>
      <c r="H8" s="38">
        <f>H7/H2</f>
        <v>0.15</v>
      </c>
    </row>
    <row r="9" ht="15.75" customHeight="1">
      <c r="A9" s="36"/>
      <c r="B9" s="39" t="s">
        <v>23</v>
      </c>
      <c r="C9" s="39" t="s">
        <v>24</v>
      </c>
      <c r="D9" s="39" t="s">
        <v>25</v>
      </c>
      <c r="E9" s="39" t="s">
        <v>18</v>
      </c>
      <c r="F9" s="39" t="s">
        <v>19</v>
      </c>
      <c r="G9" s="39" t="s">
        <v>26</v>
      </c>
      <c r="H9" s="36"/>
      <c r="K9" s="14"/>
      <c r="L9" s="14"/>
      <c r="M9" s="14"/>
      <c r="N9" s="14"/>
      <c r="O9" s="14"/>
      <c r="P9" s="14"/>
      <c r="Q9" s="14"/>
    </row>
    <row r="10" ht="15.75" customHeight="1">
      <c r="A10" s="16" t="s">
        <v>27</v>
      </c>
      <c r="B10" s="16">
        <v>0.0</v>
      </c>
      <c r="C10" s="16">
        <v>2000.0</v>
      </c>
      <c r="D10" s="17"/>
      <c r="E10" s="17"/>
      <c r="F10" s="17"/>
      <c r="G10" s="17"/>
      <c r="H10" s="17">
        <f>B10*C10</f>
        <v>0</v>
      </c>
      <c r="K10" s="14"/>
      <c r="L10" s="14"/>
      <c r="M10" s="14"/>
      <c r="N10" s="14"/>
      <c r="O10" s="14"/>
      <c r="P10" s="14"/>
      <c r="Q10" s="14"/>
    </row>
    <row r="11" ht="15.75" customHeight="1">
      <c r="A11" s="16" t="s">
        <v>28</v>
      </c>
      <c r="B11" s="17"/>
      <c r="C11" s="17"/>
      <c r="D11" s="16" t="s">
        <v>29</v>
      </c>
      <c r="E11" s="40">
        <f t="shared" ref="E11:E13" si="1">F11*0.25</f>
        <v>956250</v>
      </c>
      <c r="F11" s="40">
        <f t="shared" ref="F11:F12" si="2">sum(1000*H11)/G11*0.85</f>
        <v>3825000</v>
      </c>
      <c r="G11" s="21">
        <v>20.0</v>
      </c>
      <c r="H11" s="32">
        <f>H7-H10</f>
        <v>90000</v>
      </c>
      <c r="K11" s="14"/>
      <c r="L11" s="14"/>
      <c r="M11" s="14"/>
      <c r="N11" s="14"/>
      <c r="O11" s="14"/>
      <c r="P11" s="14"/>
      <c r="Q11" s="14"/>
    </row>
    <row r="12" ht="15.75" customHeight="1">
      <c r="A12" s="16" t="s">
        <v>30</v>
      </c>
      <c r="B12" s="17"/>
      <c r="C12" s="17"/>
      <c r="D12" s="16" t="s">
        <v>29</v>
      </c>
      <c r="E12" s="40">
        <f t="shared" si="1"/>
        <v>0</v>
      </c>
      <c r="F12" s="40">
        <f t="shared" si="2"/>
        <v>0</v>
      </c>
      <c r="G12" s="21">
        <v>15.0</v>
      </c>
      <c r="H12" s="32">
        <v>0.0</v>
      </c>
      <c r="I12" s="19"/>
      <c r="K12" s="14"/>
      <c r="L12" s="14"/>
      <c r="M12" s="14"/>
      <c r="N12" s="14"/>
      <c r="O12" s="14"/>
      <c r="P12" s="14"/>
      <c r="Q12" s="14"/>
    </row>
    <row r="13" ht="15.75" customHeight="1">
      <c r="A13" s="36" t="s">
        <v>15</v>
      </c>
      <c r="B13" s="36"/>
      <c r="C13" s="36"/>
      <c r="D13" s="36"/>
      <c r="E13" s="41">
        <f t="shared" si="1"/>
        <v>956.25</v>
      </c>
      <c r="F13" s="42">
        <f>sum(F10:F12)/1000</f>
        <v>3825</v>
      </c>
      <c r="G13" s="43"/>
      <c r="H13" s="44">
        <f>sum(H10:H12)</f>
        <v>90000</v>
      </c>
      <c r="I13" s="18"/>
      <c r="K13" s="14"/>
      <c r="L13" s="14"/>
      <c r="M13" s="14"/>
      <c r="N13" s="14"/>
      <c r="O13" s="14"/>
      <c r="P13" s="14"/>
      <c r="Q13" s="14"/>
    </row>
    <row r="14" ht="15.75" customHeight="1">
      <c r="A14" s="39" t="s">
        <v>4</v>
      </c>
      <c r="B14" s="36"/>
      <c r="C14" s="36"/>
      <c r="D14" s="36"/>
      <c r="E14" s="45"/>
      <c r="F14" s="46"/>
      <c r="G14" s="43"/>
      <c r="H14" s="47">
        <f>H13/H2</f>
        <v>0.15</v>
      </c>
      <c r="I14" s="18"/>
      <c r="K14" s="14"/>
      <c r="L14" s="14"/>
      <c r="M14" s="14"/>
      <c r="N14" s="14"/>
      <c r="O14" s="14"/>
      <c r="P14" s="14"/>
      <c r="Q14" s="14"/>
    </row>
    <row r="15" ht="15.75" customHeight="1">
      <c r="I15" s="14"/>
      <c r="K15" s="14"/>
      <c r="L15" s="14"/>
      <c r="M15" s="14"/>
      <c r="N15" s="14"/>
      <c r="O15" s="14"/>
      <c r="P15" s="14"/>
      <c r="Q15" s="14"/>
    </row>
    <row r="16" ht="15.75" customHeight="1">
      <c r="A16" s="48" t="s">
        <v>31</v>
      </c>
      <c r="B16" s="12"/>
      <c r="C16" s="12"/>
      <c r="D16" s="12"/>
      <c r="E16" s="12"/>
      <c r="F16" s="12"/>
      <c r="G16" s="12"/>
      <c r="H16" s="12"/>
      <c r="I16" s="13"/>
      <c r="K16" s="14"/>
      <c r="L16" s="14"/>
      <c r="M16" s="14"/>
      <c r="N16" s="14"/>
      <c r="O16" s="14"/>
      <c r="P16" s="14"/>
      <c r="Q16" s="14"/>
    </row>
    <row r="17" ht="15.75" customHeight="1">
      <c r="A17" s="15" t="s">
        <v>6</v>
      </c>
      <c r="B17" s="15" t="s">
        <v>7</v>
      </c>
      <c r="C17" s="15" t="s">
        <v>8</v>
      </c>
      <c r="D17" s="15" t="s">
        <v>9</v>
      </c>
      <c r="E17" s="15" t="s">
        <v>18</v>
      </c>
      <c r="F17" s="15" t="s">
        <v>11</v>
      </c>
      <c r="G17" s="15" t="s">
        <v>12</v>
      </c>
      <c r="H17" s="15" t="s">
        <v>13</v>
      </c>
      <c r="I17" s="13"/>
      <c r="K17" s="49" t="s">
        <v>32</v>
      </c>
      <c r="L17" s="49" t="s">
        <v>33</v>
      </c>
      <c r="M17" s="49" t="s">
        <v>34</v>
      </c>
      <c r="N17" s="14"/>
      <c r="O17" s="14"/>
      <c r="P17" s="14"/>
      <c r="Q17" s="14"/>
    </row>
    <row r="18" ht="15.75" customHeight="1">
      <c r="A18" s="50" t="s">
        <v>33</v>
      </c>
      <c r="B18" s="50">
        <v>10.0</v>
      </c>
      <c r="C18" s="50">
        <v>1.0</v>
      </c>
      <c r="D18" s="14" t="s">
        <v>35</v>
      </c>
      <c r="E18" s="17">
        <f t="shared" ref="E18:E23" si="3">F18*0.6</f>
        <v>6</v>
      </c>
      <c r="F18" s="16">
        <f t="shared" ref="F18:F20" si="4">MROUND(B18*0.8,5)</f>
        <v>10</v>
      </c>
      <c r="G18" s="51">
        <v>979.0</v>
      </c>
      <c r="H18" s="17">
        <f>F18*L18*C18</f>
        <v>9790</v>
      </c>
      <c r="K18" s="49" t="s">
        <v>20</v>
      </c>
      <c r="L18" s="13">
        <f>89*11</f>
        <v>979</v>
      </c>
      <c r="M18" s="52">
        <f>118*11</f>
        <v>1298</v>
      </c>
      <c r="N18" s="6"/>
      <c r="O18" s="19"/>
      <c r="P18" s="18"/>
      <c r="Q18" s="14"/>
    </row>
    <row r="19" ht="15.75" customHeight="1">
      <c r="A19" s="50" t="s">
        <v>33</v>
      </c>
      <c r="B19" s="50">
        <v>20.0</v>
      </c>
      <c r="C19" s="50">
        <v>1.0</v>
      </c>
      <c r="D19" s="14" t="s">
        <v>35</v>
      </c>
      <c r="E19" s="17">
        <f t="shared" si="3"/>
        <v>9</v>
      </c>
      <c r="F19" s="16">
        <f t="shared" si="4"/>
        <v>15</v>
      </c>
      <c r="G19" s="51">
        <v>979.0</v>
      </c>
      <c r="H19" s="17">
        <f t="shared" ref="H19:H23" si="5">F19*G19*C19</f>
        <v>14685</v>
      </c>
      <c r="K19" s="14"/>
      <c r="L19" s="20"/>
      <c r="M19" s="20"/>
      <c r="N19" s="21"/>
      <c r="O19" s="19"/>
      <c r="P19" s="19"/>
      <c r="Q19" s="14"/>
    </row>
    <row r="20" ht="15.75" customHeight="1">
      <c r="A20" s="50" t="s">
        <v>33</v>
      </c>
      <c r="B20" s="50">
        <v>30.0</v>
      </c>
      <c r="C20" s="50">
        <v>1.0</v>
      </c>
      <c r="D20" s="14" t="s">
        <v>35</v>
      </c>
      <c r="E20" s="17">
        <f t="shared" si="3"/>
        <v>15</v>
      </c>
      <c r="F20" s="16">
        <f t="shared" si="4"/>
        <v>25</v>
      </c>
      <c r="G20" s="51">
        <v>979.0</v>
      </c>
      <c r="H20" s="17">
        <f t="shared" si="5"/>
        <v>24475</v>
      </c>
      <c r="K20" s="14"/>
      <c r="L20" s="20"/>
      <c r="M20" s="20"/>
      <c r="N20" s="21"/>
      <c r="O20" s="19"/>
      <c r="P20" s="19"/>
      <c r="Q20" s="14"/>
    </row>
    <row r="21" ht="15.75" customHeight="1">
      <c r="A21" s="16" t="s">
        <v>34</v>
      </c>
      <c r="B21" s="50">
        <v>10.0</v>
      </c>
      <c r="C21" s="50">
        <v>1.0</v>
      </c>
      <c r="D21" s="14" t="s">
        <v>35</v>
      </c>
      <c r="E21" s="17">
        <f t="shared" si="3"/>
        <v>3</v>
      </c>
      <c r="F21" s="16">
        <f t="shared" ref="F21:F23" si="6">MROUND(B21*0.7,5)</f>
        <v>5</v>
      </c>
      <c r="G21" s="50">
        <v>1298.0</v>
      </c>
      <c r="H21" s="17">
        <f t="shared" si="5"/>
        <v>6490</v>
      </c>
      <c r="K21" s="14"/>
      <c r="L21" s="20"/>
      <c r="M21" s="20"/>
      <c r="N21" s="21"/>
      <c r="O21" s="19"/>
      <c r="P21" s="19"/>
      <c r="Q21" s="14"/>
    </row>
    <row r="22" ht="15.75" customHeight="1">
      <c r="A22" s="16" t="s">
        <v>34</v>
      </c>
      <c r="B22" s="50">
        <v>20.0</v>
      </c>
      <c r="C22" s="50">
        <v>1.0</v>
      </c>
      <c r="D22" s="14" t="s">
        <v>35</v>
      </c>
      <c r="E22" s="17">
        <f t="shared" si="3"/>
        <v>9</v>
      </c>
      <c r="F22" s="16">
        <f t="shared" si="6"/>
        <v>15</v>
      </c>
      <c r="G22" s="50">
        <v>1298.0</v>
      </c>
      <c r="H22" s="17">
        <f t="shared" si="5"/>
        <v>19470</v>
      </c>
      <c r="K22" s="14"/>
      <c r="L22" s="20"/>
      <c r="M22" s="20"/>
      <c r="N22" s="21"/>
      <c r="O22" s="19"/>
      <c r="P22" s="19"/>
      <c r="Q22" s="14"/>
    </row>
    <row r="23" ht="15.75" customHeight="1">
      <c r="A23" s="16" t="s">
        <v>34</v>
      </c>
      <c r="B23" s="50">
        <v>30.0</v>
      </c>
      <c r="C23" s="50">
        <v>1.0</v>
      </c>
      <c r="D23" s="14" t="s">
        <v>35</v>
      </c>
      <c r="E23" s="17">
        <f t="shared" si="3"/>
        <v>12</v>
      </c>
      <c r="F23" s="16">
        <f t="shared" si="6"/>
        <v>20</v>
      </c>
      <c r="G23" s="50">
        <v>1298.0</v>
      </c>
      <c r="H23" s="17">
        <f t="shared" si="5"/>
        <v>25960</v>
      </c>
      <c r="K23" s="14"/>
      <c r="L23" s="22"/>
      <c r="M23" s="20"/>
      <c r="N23" s="6"/>
      <c r="O23" s="19"/>
      <c r="P23" s="18"/>
      <c r="Q23" s="14"/>
    </row>
    <row r="24" ht="15.75" customHeight="1">
      <c r="A24" s="12" t="str">
        <f>"Total: "&amp;COUNTA(A18:A23)</f>
        <v>Total: 6</v>
      </c>
      <c r="B24" s="12"/>
      <c r="C24" s="12">
        <f>AVERAGE(C18:C23)</f>
        <v>1</v>
      </c>
      <c r="D24" s="12"/>
      <c r="E24" s="12">
        <f>sum(E18:E23)</f>
        <v>54</v>
      </c>
      <c r="F24" s="12">
        <f>SUM(F18:F23)</f>
        <v>90</v>
      </c>
      <c r="G24" s="12"/>
      <c r="H24" s="12">
        <f>sum(H18:H23)</f>
        <v>100870</v>
      </c>
      <c r="I24" s="24" t="s">
        <v>16</v>
      </c>
      <c r="J24" s="4"/>
      <c r="K24" s="18"/>
      <c r="L24" s="18"/>
      <c r="M24" s="14"/>
      <c r="N24" s="14"/>
      <c r="O24" s="14"/>
      <c r="P24" s="14"/>
      <c r="Q24" s="14"/>
    </row>
    <row r="25" ht="15.75" customHeight="1">
      <c r="F25" s="13">
        <f>F24*C24</f>
        <v>90</v>
      </c>
      <c r="H25" s="25">
        <f>I25*0.925</f>
        <v>152625</v>
      </c>
      <c r="I25" s="26">
        <f>(H2-H4-H7)/2</f>
        <v>165000</v>
      </c>
      <c r="J25" s="4"/>
      <c r="K25" s="18"/>
      <c r="L25" s="18"/>
      <c r="M25" s="14"/>
      <c r="N25" s="14"/>
      <c r="O25" s="14"/>
      <c r="P25" s="14"/>
      <c r="Q25" s="14"/>
    </row>
    <row r="26" ht="15.75" customHeight="1">
      <c r="G26" s="53" t="s">
        <v>36</v>
      </c>
      <c r="H26" s="54">
        <f>H25-H24</f>
        <v>51755</v>
      </c>
      <c r="J26" s="4"/>
      <c r="K26" s="4"/>
      <c r="L26" s="4"/>
    </row>
    <row r="27" ht="15.75" customHeight="1">
      <c r="A27" s="48" t="s">
        <v>37</v>
      </c>
      <c r="B27" s="12"/>
      <c r="C27" s="12"/>
      <c r="D27" s="12"/>
      <c r="E27" s="12"/>
      <c r="F27" s="12"/>
      <c r="G27" s="12"/>
      <c r="H27" s="12"/>
      <c r="I27" s="13"/>
      <c r="K27" s="14"/>
      <c r="L27" s="14"/>
      <c r="M27" s="14"/>
      <c r="N27" s="14"/>
      <c r="O27" s="14"/>
      <c r="P27" s="14"/>
      <c r="Q27" s="14"/>
    </row>
    <row r="28" ht="15.75" customHeight="1">
      <c r="A28" s="15" t="s">
        <v>6</v>
      </c>
      <c r="B28" s="15" t="s">
        <v>7</v>
      </c>
      <c r="C28" s="15" t="s">
        <v>8</v>
      </c>
      <c r="D28" s="15" t="s">
        <v>9</v>
      </c>
      <c r="E28" s="15" t="s">
        <v>18</v>
      </c>
      <c r="F28" s="15" t="s">
        <v>11</v>
      </c>
      <c r="G28" s="15" t="s">
        <v>12</v>
      </c>
      <c r="H28" s="15" t="s">
        <v>13</v>
      </c>
      <c r="I28" s="13"/>
      <c r="K28" s="49" t="s">
        <v>38</v>
      </c>
      <c r="L28" s="49" t="s">
        <v>33</v>
      </c>
      <c r="M28" s="49" t="s">
        <v>34</v>
      </c>
      <c r="N28" s="14"/>
      <c r="O28" s="14"/>
      <c r="P28" s="14"/>
      <c r="Q28" s="14"/>
    </row>
    <row r="29" ht="15.75" customHeight="1">
      <c r="A29" s="50" t="s">
        <v>33</v>
      </c>
      <c r="B29" s="50">
        <v>10.0</v>
      </c>
      <c r="C29" s="50">
        <v>1.0</v>
      </c>
      <c r="D29" s="14" t="s">
        <v>35</v>
      </c>
      <c r="E29" s="17">
        <f t="shared" ref="E29:E34" si="7">F29*0.6</f>
        <v>6</v>
      </c>
      <c r="F29" s="16">
        <f t="shared" ref="F29:F31" si="8">MROUND(B29*0.8,5)</f>
        <v>10</v>
      </c>
      <c r="G29" s="55">
        <f>G18*2</f>
        <v>1958</v>
      </c>
      <c r="H29" s="17">
        <f>F29*L29*C29</f>
        <v>19580</v>
      </c>
      <c r="K29" s="49" t="s">
        <v>20</v>
      </c>
      <c r="L29" s="13">
        <f>89*11*2</f>
        <v>1958</v>
      </c>
      <c r="M29" s="52">
        <f>118*11*2</f>
        <v>2596</v>
      </c>
      <c r="N29" s="6"/>
      <c r="O29" s="19"/>
      <c r="P29" s="18"/>
      <c r="Q29" s="14"/>
    </row>
    <row r="30" ht="15.75" customHeight="1">
      <c r="A30" s="50" t="s">
        <v>33</v>
      </c>
      <c r="B30" s="50">
        <v>10.0</v>
      </c>
      <c r="C30" s="50">
        <v>1.0</v>
      </c>
      <c r="D30" s="14" t="s">
        <v>35</v>
      </c>
      <c r="E30" s="17">
        <f t="shared" si="7"/>
        <v>6</v>
      </c>
      <c r="F30" s="16">
        <f t="shared" si="8"/>
        <v>10</v>
      </c>
      <c r="G30" s="16">
        <f>G18*2</f>
        <v>1958</v>
      </c>
      <c r="H30" s="17">
        <f t="shared" ref="H30:H34" si="9">F30*G30*C30</f>
        <v>19580</v>
      </c>
      <c r="K30" s="14"/>
      <c r="L30" s="20"/>
      <c r="M30" s="20"/>
      <c r="N30" s="21"/>
      <c r="O30" s="19"/>
      <c r="P30" s="19"/>
      <c r="Q30" s="14"/>
    </row>
    <row r="31" ht="15.75" customHeight="1">
      <c r="A31" s="50" t="s">
        <v>33</v>
      </c>
      <c r="B31" s="50">
        <v>30.0</v>
      </c>
      <c r="C31" s="50">
        <v>1.0</v>
      </c>
      <c r="D31" s="14" t="s">
        <v>35</v>
      </c>
      <c r="E31" s="17">
        <f t="shared" si="7"/>
        <v>15</v>
      </c>
      <c r="F31" s="16">
        <f t="shared" si="8"/>
        <v>25</v>
      </c>
      <c r="G31" s="16">
        <f>G18*2</f>
        <v>1958</v>
      </c>
      <c r="H31" s="17">
        <f t="shared" si="9"/>
        <v>48950</v>
      </c>
      <c r="K31" s="14"/>
      <c r="L31" s="20"/>
      <c r="M31" s="20"/>
      <c r="N31" s="21"/>
      <c r="O31" s="19"/>
      <c r="P31" s="19"/>
      <c r="Q31" s="14"/>
    </row>
    <row r="32" ht="15.75" customHeight="1">
      <c r="A32" s="16" t="s">
        <v>34</v>
      </c>
      <c r="B32" s="50">
        <v>10.0</v>
      </c>
      <c r="C32" s="50">
        <v>1.0</v>
      </c>
      <c r="D32" s="14" t="s">
        <v>35</v>
      </c>
      <c r="E32" s="17">
        <f t="shared" si="7"/>
        <v>3</v>
      </c>
      <c r="F32" s="16">
        <f t="shared" ref="F32:F34" si="10">MROUND(B32*0.7,5)</f>
        <v>5</v>
      </c>
      <c r="G32" s="16">
        <f>G21*2</f>
        <v>2596</v>
      </c>
      <c r="H32" s="17">
        <f t="shared" si="9"/>
        <v>12980</v>
      </c>
      <c r="K32" s="14"/>
      <c r="L32" s="20"/>
      <c r="M32" s="20"/>
      <c r="N32" s="21"/>
      <c r="O32" s="19"/>
      <c r="P32" s="19"/>
      <c r="Q32" s="14"/>
    </row>
    <row r="33" ht="15.75" customHeight="1">
      <c r="A33" s="16" t="s">
        <v>34</v>
      </c>
      <c r="B33" s="50">
        <v>20.0</v>
      </c>
      <c r="C33" s="50">
        <v>1.0</v>
      </c>
      <c r="D33" s="14" t="s">
        <v>35</v>
      </c>
      <c r="E33" s="17">
        <f t="shared" si="7"/>
        <v>9</v>
      </c>
      <c r="F33" s="16">
        <f t="shared" si="10"/>
        <v>15</v>
      </c>
      <c r="G33" s="16">
        <f>G21*2</f>
        <v>2596</v>
      </c>
      <c r="H33" s="17">
        <f t="shared" si="9"/>
        <v>38940</v>
      </c>
      <c r="K33" s="14"/>
      <c r="L33" s="20"/>
      <c r="M33" s="20"/>
      <c r="N33" s="21"/>
      <c r="O33" s="19"/>
      <c r="P33" s="19"/>
      <c r="Q33" s="14"/>
    </row>
    <row r="34" ht="15.75" customHeight="1">
      <c r="A34" s="16" t="s">
        <v>34</v>
      </c>
      <c r="B34" s="50">
        <v>30.0</v>
      </c>
      <c r="C34" s="50">
        <v>1.0</v>
      </c>
      <c r="D34" s="14" t="s">
        <v>35</v>
      </c>
      <c r="E34" s="17">
        <f t="shared" si="7"/>
        <v>12</v>
      </c>
      <c r="F34" s="16">
        <f t="shared" si="10"/>
        <v>20</v>
      </c>
      <c r="G34" s="16">
        <f>G21*2</f>
        <v>2596</v>
      </c>
      <c r="H34" s="17">
        <f t="shared" si="9"/>
        <v>51920</v>
      </c>
      <c r="K34" s="14"/>
      <c r="L34" s="22"/>
      <c r="M34" s="20"/>
      <c r="N34" s="6"/>
      <c r="O34" s="19"/>
      <c r="P34" s="18"/>
      <c r="Q34" s="14"/>
    </row>
    <row r="35" ht="15.75" customHeight="1">
      <c r="A35" s="12" t="str">
        <f>"Total: "&amp;COUNTA(A29:A34)</f>
        <v>Total: 6</v>
      </c>
      <c r="B35" s="12"/>
      <c r="C35" s="12">
        <f>AVERAGE(C29:C34)</f>
        <v>1</v>
      </c>
      <c r="D35" s="12"/>
      <c r="E35" s="12">
        <f>sum(E29:E34)</f>
        <v>51</v>
      </c>
      <c r="F35" s="12">
        <f>SUM(F29:F34)</f>
        <v>85</v>
      </c>
      <c r="G35" s="12"/>
      <c r="H35" s="12">
        <f>sum(H29:H34)</f>
        <v>191950</v>
      </c>
      <c r="I35" s="24" t="s">
        <v>16</v>
      </c>
      <c r="J35" s="4"/>
      <c r="K35" s="18"/>
      <c r="L35" s="18"/>
      <c r="M35" s="14"/>
      <c r="N35" s="14"/>
      <c r="O35" s="14"/>
      <c r="P35" s="14"/>
      <c r="Q35" s="14"/>
    </row>
    <row r="36" ht="15.75" customHeight="1">
      <c r="F36" s="13">
        <f>F35*C35</f>
        <v>85</v>
      </c>
      <c r="H36" s="25">
        <f>I36*0.925</f>
        <v>152625</v>
      </c>
      <c r="I36" s="26">
        <f>(H2-H4-H7)/2</f>
        <v>165000</v>
      </c>
      <c r="J36" s="4"/>
      <c r="K36" s="18"/>
      <c r="L36" s="18"/>
      <c r="M36" s="14"/>
      <c r="N36" s="14"/>
      <c r="O36" s="14"/>
      <c r="P36" s="14"/>
      <c r="Q36" s="14"/>
    </row>
    <row r="37" ht="15.75" customHeight="1">
      <c r="G37" s="53" t="s">
        <v>36</v>
      </c>
      <c r="H37" s="54">
        <f>H36-H35</f>
        <v>-39325</v>
      </c>
      <c r="J37" s="4"/>
      <c r="K37" s="4"/>
      <c r="L37" s="4"/>
    </row>
    <row r="38" ht="15.75" customHeight="1">
      <c r="A38" s="27" t="s">
        <v>17</v>
      </c>
      <c r="B38" s="27"/>
      <c r="C38" s="27"/>
      <c r="D38" s="27"/>
      <c r="E38" s="27"/>
      <c r="F38" s="28"/>
      <c r="G38" s="28"/>
      <c r="H38" s="29"/>
      <c r="J38" s="4"/>
      <c r="K38" s="4"/>
      <c r="L38" s="4"/>
    </row>
    <row r="39" ht="15.75" customHeight="1">
      <c r="A39" s="27"/>
      <c r="B39" s="27"/>
      <c r="C39" s="27"/>
      <c r="D39" s="27"/>
      <c r="E39" s="28" t="s">
        <v>18</v>
      </c>
      <c r="F39" s="28" t="s">
        <v>19</v>
      </c>
      <c r="G39" s="28" t="s">
        <v>20</v>
      </c>
      <c r="H39" s="29"/>
      <c r="J39" s="4"/>
      <c r="K39" s="4"/>
      <c r="L39" s="4"/>
    </row>
    <row r="40" ht="15.75" customHeight="1">
      <c r="A40" s="27"/>
      <c r="B40" s="27"/>
      <c r="C40" s="27"/>
      <c r="D40" s="27"/>
      <c r="E40" s="27">
        <f>(E13+E24)*1000</f>
        <v>1010250</v>
      </c>
      <c r="F40" s="30">
        <f>(F13+F24+F35)*1000</f>
        <v>4000000</v>
      </c>
      <c r="G40" s="30">
        <f>(H2/F40)*1000</f>
        <v>150</v>
      </c>
      <c r="H40" s="29"/>
      <c r="J40" s="4"/>
      <c r="K40" s="4"/>
      <c r="L40" s="4"/>
    </row>
    <row r="41" ht="15.75" customHeight="1">
      <c r="A41" s="5"/>
      <c r="B41" s="4"/>
      <c r="C41" s="4"/>
      <c r="D41" s="4"/>
      <c r="E41" s="4"/>
      <c r="F41" s="56">
        <f>(F13+F25+F35)*1000</f>
        <v>4000000</v>
      </c>
      <c r="G41" s="31"/>
      <c r="H41" s="32"/>
      <c r="I41" s="4"/>
      <c r="J41" s="4"/>
      <c r="K41" s="4"/>
      <c r="L41" s="4"/>
    </row>
    <row r="42" ht="15.75" customHeight="1">
      <c r="A42" s="4"/>
      <c r="B42" s="33"/>
      <c r="C42" s="33"/>
      <c r="D42" s="33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5"/>
      <c r="B46" s="4"/>
      <c r="C46" s="4"/>
      <c r="D46" s="4"/>
      <c r="E46" s="5"/>
      <c r="F46" s="5"/>
      <c r="G46" s="5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5"/>
      <c r="B50" s="32"/>
      <c r="C50" s="32"/>
      <c r="D50" s="32"/>
      <c r="E50" s="4"/>
      <c r="F50" s="4"/>
      <c r="G50" s="4"/>
      <c r="H50" s="4"/>
      <c r="I50" s="4"/>
      <c r="J50" s="4"/>
      <c r="K50" s="4"/>
      <c r="L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34" t="s">
        <v>21</v>
      </c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35">
        <v>600000.0</v>
      </c>
      <c r="I2" s="4"/>
      <c r="J2" s="4">
        <f>H4+H15+I33</f>
        <v>600000</v>
      </c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J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57">
        <v>286605.0</v>
      </c>
      <c r="I4" s="16">
        <f>H2*0.3</f>
        <v>180000</v>
      </c>
    </row>
    <row r="5" ht="15.75" customHeight="1">
      <c r="A5" s="9" t="s">
        <v>4</v>
      </c>
      <c r="B5" s="8"/>
      <c r="C5" s="8"/>
      <c r="D5" s="8"/>
      <c r="E5" s="8"/>
      <c r="F5" s="8"/>
      <c r="G5" s="8"/>
      <c r="H5" s="10">
        <f>H4/H2</f>
        <v>0.477675</v>
      </c>
    </row>
    <row r="6" ht="15.75" customHeight="1">
      <c r="H6" s="11"/>
    </row>
    <row r="7" ht="15.75" customHeight="1">
      <c r="A7" s="36" t="s">
        <v>22</v>
      </c>
      <c r="B7" s="36"/>
      <c r="C7" s="36"/>
      <c r="D7" s="36"/>
      <c r="E7" s="36"/>
      <c r="F7" s="36"/>
      <c r="G7" s="36"/>
      <c r="H7" s="36">
        <f>H2*0.15</f>
        <v>90000</v>
      </c>
    </row>
    <row r="8" ht="15.75" customHeight="1">
      <c r="A8" s="37" t="s">
        <v>4</v>
      </c>
      <c r="B8" s="36"/>
      <c r="C8" s="36"/>
      <c r="D8" s="36"/>
      <c r="E8" s="36"/>
      <c r="F8" s="36"/>
      <c r="G8" s="36"/>
      <c r="H8" s="38">
        <f>H7/H2</f>
        <v>0.15</v>
      </c>
    </row>
    <row r="9" ht="15.75" customHeight="1">
      <c r="A9" s="36"/>
      <c r="B9" s="39" t="s">
        <v>23</v>
      </c>
      <c r="C9" s="39" t="s">
        <v>24</v>
      </c>
      <c r="D9" s="39" t="s">
        <v>25</v>
      </c>
      <c r="E9" s="39" t="s">
        <v>18</v>
      </c>
      <c r="F9" s="39" t="s">
        <v>19</v>
      </c>
      <c r="G9" s="39" t="s">
        <v>26</v>
      </c>
      <c r="H9" s="36"/>
      <c r="K9" s="51" t="s">
        <v>39</v>
      </c>
      <c r="L9" s="14">
        <f t="shared" ref="L9:M9" si="1">L14/11</f>
        <v>62.3</v>
      </c>
      <c r="M9" s="14">
        <f t="shared" si="1"/>
        <v>82.6</v>
      </c>
      <c r="N9" s="14">
        <f>MEDIAN(L9:M9)</f>
        <v>72.45</v>
      </c>
      <c r="O9" s="14">
        <f>N9*11</f>
        <v>796.95</v>
      </c>
      <c r="P9" s="14"/>
      <c r="Q9" s="14"/>
    </row>
    <row r="10" ht="15.75" customHeight="1">
      <c r="A10" s="16" t="s">
        <v>27</v>
      </c>
      <c r="B10" s="50">
        <v>12.0</v>
      </c>
      <c r="C10" s="16">
        <v>2000.0</v>
      </c>
      <c r="D10" s="17"/>
      <c r="E10" s="17"/>
      <c r="F10" s="17"/>
      <c r="G10" s="17"/>
      <c r="H10" s="17">
        <f>B10*C10</f>
        <v>24000</v>
      </c>
      <c r="K10" s="14"/>
      <c r="L10" s="14"/>
      <c r="M10" s="14"/>
      <c r="N10" s="14"/>
      <c r="O10" s="14"/>
      <c r="P10" s="14"/>
      <c r="Q10" s="14"/>
    </row>
    <row r="11" ht="15.75" customHeight="1">
      <c r="A11" s="58" t="s">
        <v>40</v>
      </c>
      <c r="B11" s="59"/>
      <c r="C11" s="59"/>
      <c r="D11" s="60" t="s">
        <v>29</v>
      </c>
      <c r="E11" s="61">
        <f t="shared" ref="E11:E15" si="2">F11*0.25</f>
        <v>175312.5</v>
      </c>
      <c r="F11" s="61">
        <f t="shared" ref="F11:F12" si="3">sum(1000*H11)/G11*0.85</f>
        <v>701250</v>
      </c>
      <c r="G11" s="62">
        <v>20.0</v>
      </c>
      <c r="H11" s="63">
        <v>16500.0</v>
      </c>
      <c r="K11" s="49" t="s">
        <v>20</v>
      </c>
      <c r="L11" s="49" t="s">
        <v>33</v>
      </c>
      <c r="M11" s="49" t="s">
        <v>34</v>
      </c>
      <c r="N11" s="14"/>
      <c r="O11" s="14"/>
      <c r="P11" s="14"/>
      <c r="Q11" s="14"/>
    </row>
    <row r="12" ht="15.75" customHeight="1">
      <c r="A12" s="58" t="s">
        <v>41</v>
      </c>
      <c r="B12" s="59"/>
      <c r="C12" s="59"/>
      <c r="D12" s="60" t="s">
        <v>29</v>
      </c>
      <c r="E12" s="61">
        <f t="shared" si="2"/>
        <v>233750</v>
      </c>
      <c r="F12" s="61">
        <f t="shared" si="3"/>
        <v>935000</v>
      </c>
      <c r="G12" s="62">
        <v>15.0</v>
      </c>
      <c r="H12" s="63">
        <v>16500.0</v>
      </c>
      <c r="K12" s="49"/>
      <c r="L12" s="49"/>
      <c r="M12" s="49"/>
      <c r="N12" s="14"/>
      <c r="O12" s="14"/>
      <c r="P12" s="14"/>
      <c r="Q12" s="14"/>
    </row>
    <row r="13" ht="15.75" customHeight="1">
      <c r="A13" s="64" t="s">
        <v>42</v>
      </c>
      <c r="B13" s="65"/>
      <c r="C13" s="65"/>
      <c r="D13" s="66" t="s">
        <v>29</v>
      </c>
      <c r="E13" s="67">
        <f t="shared" si="2"/>
        <v>175312.5</v>
      </c>
      <c r="F13" s="67">
        <f>sum(1000*H13)/G13*0.85</f>
        <v>701250</v>
      </c>
      <c r="G13" s="68">
        <v>20.0</v>
      </c>
      <c r="H13" s="69">
        <v>16500.0</v>
      </c>
      <c r="I13" s="19"/>
      <c r="K13" s="49"/>
      <c r="L13" s="13"/>
      <c r="M13" s="52"/>
      <c r="N13" s="70"/>
      <c r="O13" s="14"/>
      <c r="P13" s="14"/>
      <c r="Q13" s="14"/>
    </row>
    <row r="14" ht="15.75" customHeight="1">
      <c r="A14" s="71" t="s">
        <v>43</v>
      </c>
      <c r="B14" s="72"/>
      <c r="C14" s="72"/>
      <c r="D14" s="73" t="s">
        <v>29</v>
      </c>
      <c r="E14" s="67">
        <f t="shared" si="2"/>
        <v>233750</v>
      </c>
      <c r="F14" s="67">
        <f>sum(1000*H14)/G14*0.85</f>
        <v>935000</v>
      </c>
      <c r="G14" s="68">
        <v>15.0</v>
      </c>
      <c r="H14" s="69">
        <v>16500.0</v>
      </c>
      <c r="I14" s="19"/>
      <c r="K14" s="49" t="s">
        <v>32</v>
      </c>
      <c r="L14" s="13">
        <f>(89*11)*0.7</f>
        <v>685.3</v>
      </c>
      <c r="M14" s="52">
        <f>(118*11)*0.7</f>
        <v>908.6</v>
      </c>
      <c r="N14" s="70" t="s">
        <v>44</v>
      </c>
      <c r="O14" s="14"/>
      <c r="P14" s="14"/>
      <c r="Q14" s="14"/>
    </row>
    <row r="15" ht="15.75" customHeight="1">
      <c r="A15" s="36" t="s">
        <v>15</v>
      </c>
      <c r="B15" s="36"/>
      <c r="C15" s="36"/>
      <c r="D15" s="36"/>
      <c r="E15" s="41">
        <f t="shared" si="2"/>
        <v>818.125</v>
      </c>
      <c r="F15" s="42">
        <f>sum(F10:F14)/1000</f>
        <v>3272.5</v>
      </c>
      <c r="G15" s="43"/>
      <c r="H15" s="44">
        <f>sum(H10:H14)</f>
        <v>90000</v>
      </c>
      <c r="I15" s="18"/>
      <c r="O15" s="14"/>
      <c r="P15" s="14"/>
      <c r="Q15" s="14"/>
    </row>
    <row r="16" ht="15.75" customHeight="1">
      <c r="A16" s="39" t="s">
        <v>4</v>
      </c>
      <c r="B16" s="36"/>
      <c r="C16" s="36"/>
      <c r="D16" s="36"/>
      <c r="E16" s="45"/>
      <c r="F16" s="46"/>
      <c r="G16" s="43"/>
      <c r="H16" s="47">
        <f>H15/H2</f>
        <v>0.15</v>
      </c>
      <c r="I16" s="18"/>
      <c r="K16" s="74" t="s">
        <v>38</v>
      </c>
      <c r="L16" s="75">
        <f t="shared" ref="L16:M16" si="4">L14*2</f>
        <v>1370.6</v>
      </c>
      <c r="M16" s="76">
        <f t="shared" si="4"/>
        <v>1817.2</v>
      </c>
      <c r="N16" s="77" t="s">
        <v>45</v>
      </c>
      <c r="O16" s="14"/>
      <c r="P16" s="14"/>
      <c r="Q16" s="14"/>
    </row>
    <row r="17" ht="15.75" customHeight="1">
      <c r="I17" s="14"/>
      <c r="K17" s="78" t="s">
        <v>46</v>
      </c>
      <c r="L17" s="78">
        <f>70*9.5</f>
        <v>665</v>
      </c>
      <c r="M17" s="78">
        <f>80*9.5</f>
        <v>760</v>
      </c>
      <c r="N17" s="79" t="s">
        <v>47</v>
      </c>
      <c r="O17" s="14"/>
      <c r="P17" s="14"/>
      <c r="Q17" s="14"/>
    </row>
    <row r="18" ht="15.75" customHeight="1">
      <c r="A18" s="48" t="s">
        <v>31</v>
      </c>
      <c r="B18" s="12"/>
      <c r="C18" s="12"/>
      <c r="D18" s="12"/>
      <c r="E18" s="12"/>
      <c r="F18" s="12"/>
      <c r="G18" s="12"/>
      <c r="H18" s="12"/>
      <c r="I18" s="13"/>
      <c r="K18" s="14"/>
      <c r="L18" s="14"/>
      <c r="M18" s="14">
        <f>M17*1.2</f>
        <v>912</v>
      </c>
      <c r="N18" s="70" t="s">
        <v>48</v>
      </c>
      <c r="O18" s="14"/>
      <c r="P18" s="14"/>
      <c r="Q18" s="14"/>
    </row>
    <row r="19" ht="15.75" customHeight="1">
      <c r="A19" s="15" t="s">
        <v>6</v>
      </c>
      <c r="B19" s="15" t="s">
        <v>7</v>
      </c>
      <c r="C19" s="15" t="s">
        <v>8</v>
      </c>
      <c r="D19" s="15" t="s">
        <v>9</v>
      </c>
      <c r="E19" s="15" t="s">
        <v>18</v>
      </c>
      <c r="F19" s="15" t="s">
        <v>11</v>
      </c>
      <c r="G19" s="15" t="s">
        <v>12</v>
      </c>
      <c r="H19" s="80" t="s">
        <v>49</v>
      </c>
      <c r="I19" s="13"/>
      <c r="N19" s="14"/>
      <c r="O19" s="14"/>
      <c r="P19" s="14"/>
      <c r="Q19" s="14"/>
    </row>
    <row r="20" ht="15.75" customHeight="1">
      <c r="A20" s="58" t="s">
        <v>50</v>
      </c>
      <c r="B20" s="58">
        <v>15.0</v>
      </c>
      <c r="C20" s="58">
        <v>1.0</v>
      </c>
      <c r="D20" s="81" t="s">
        <v>35</v>
      </c>
      <c r="E20" s="59">
        <f t="shared" ref="E20:E31" si="5">F20*0.6</f>
        <v>6</v>
      </c>
      <c r="F20" s="60">
        <f t="shared" ref="F20:F22" si="6">MROUND(B20*0.8,5)</f>
        <v>10</v>
      </c>
      <c r="G20" s="82">
        <v>800.0</v>
      </c>
      <c r="H20" s="59">
        <f t="shared" ref="H20:H31" si="7">F20*G20*C20</f>
        <v>8000</v>
      </c>
      <c r="N20" s="6"/>
      <c r="O20" s="19"/>
      <c r="P20" s="18"/>
      <c r="Q20" s="14"/>
    </row>
    <row r="21" ht="15.75" customHeight="1">
      <c r="A21" s="58" t="s">
        <v>50</v>
      </c>
      <c r="B21" s="58">
        <v>15.0</v>
      </c>
      <c r="C21" s="58">
        <v>1.0</v>
      </c>
      <c r="D21" s="81" t="s">
        <v>35</v>
      </c>
      <c r="E21" s="59">
        <f t="shared" si="5"/>
        <v>6</v>
      </c>
      <c r="F21" s="60">
        <f t="shared" si="6"/>
        <v>10</v>
      </c>
      <c r="G21" s="82">
        <v>800.0</v>
      </c>
      <c r="H21" s="59">
        <f t="shared" si="7"/>
        <v>8000</v>
      </c>
      <c r="N21" s="21"/>
      <c r="O21" s="19"/>
      <c r="P21" s="19"/>
      <c r="Q21" s="14"/>
    </row>
    <row r="22" ht="15.75" customHeight="1">
      <c r="A22" s="58" t="s">
        <v>50</v>
      </c>
      <c r="B22" s="58">
        <v>15.0</v>
      </c>
      <c r="C22" s="58">
        <v>1.0</v>
      </c>
      <c r="D22" s="81" t="s">
        <v>35</v>
      </c>
      <c r="E22" s="59">
        <f t="shared" si="5"/>
        <v>6</v>
      </c>
      <c r="F22" s="60">
        <f t="shared" si="6"/>
        <v>10</v>
      </c>
      <c r="G22" s="82">
        <v>800.0</v>
      </c>
      <c r="H22" s="59">
        <f t="shared" si="7"/>
        <v>8000</v>
      </c>
      <c r="K22" s="14"/>
      <c r="L22" s="20"/>
      <c r="M22" s="20"/>
      <c r="N22" s="21"/>
      <c r="O22" s="19"/>
      <c r="P22" s="19"/>
      <c r="Q22" s="14"/>
    </row>
    <row r="23" ht="15.75" customHeight="1">
      <c r="A23" s="58" t="s">
        <v>51</v>
      </c>
      <c r="B23" s="58">
        <v>35.0</v>
      </c>
      <c r="C23" s="58">
        <v>1.0</v>
      </c>
      <c r="D23" s="81" t="s">
        <v>35</v>
      </c>
      <c r="E23" s="59">
        <f t="shared" si="5"/>
        <v>15</v>
      </c>
      <c r="F23" s="60">
        <f t="shared" ref="F23:F25" si="8">MROUND(B23*0.7,5)</f>
        <v>25</v>
      </c>
      <c r="G23" s="82">
        <v>800.0</v>
      </c>
      <c r="H23" s="59">
        <f t="shared" si="7"/>
        <v>20000</v>
      </c>
      <c r="K23" s="14"/>
      <c r="L23" s="20"/>
      <c r="M23" s="20"/>
      <c r="N23" s="21"/>
      <c r="O23" s="19"/>
      <c r="P23" s="19"/>
      <c r="Q23" s="14"/>
    </row>
    <row r="24" ht="15.75" customHeight="1">
      <c r="A24" s="58" t="s">
        <v>51</v>
      </c>
      <c r="B24" s="58">
        <v>35.0</v>
      </c>
      <c r="C24" s="58">
        <v>1.0</v>
      </c>
      <c r="D24" s="81" t="s">
        <v>35</v>
      </c>
      <c r="E24" s="59">
        <f t="shared" si="5"/>
        <v>15</v>
      </c>
      <c r="F24" s="60">
        <f t="shared" si="8"/>
        <v>25</v>
      </c>
      <c r="G24" s="82">
        <v>800.0</v>
      </c>
      <c r="H24" s="59">
        <f t="shared" si="7"/>
        <v>20000</v>
      </c>
      <c r="K24" s="14"/>
      <c r="L24" s="20"/>
      <c r="M24" s="20"/>
      <c r="N24" s="21"/>
      <c r="O24" s="19"/>
      <c r="P24" s="19"/>
      <c r="Q24" s="14"/>
    </row>
    <row r="25" ht="15.75" customHeight="1">
      <c r="A25" s="58" t="s">
        <v>51</v>
      </c>
      <c r="B25" s="58">
        <v>35.0</v>
      </c>
      <c r="C25" s="58">
        <v>1.0</v>
      </c>
      <c r="D25" s="81" t="s">
        <v>35</v>
      </c>
      <c r="E25" s="59">
        <f t="shared" si="5"/>
        <v>15</v>
      </c>
      <c r="F25" s="60">
        <f t="shared" si="8"/>
        <v>25</v>
      </c>
      <c r="G25" s="82">
        <v>800.0</v>
      </c>
      <c r="H25" s="59">
        <f t="shared" si="7"/>
        <v>20000</v>
      </c>
      <c r="K25" s="14"/>
      <c r="L25" s="22"/>
      <c r="M25" s="20"/>
      <c r="N25" s="6"/>
      <c r="O25" s="19"/>
      <c r="P25" s="18"/>
      <c r="Q25" s="14"/>
    </row>
    <row r="26" ht="15.75" customHeight="1">
      <c r="A26" s="71" t="s">
        <v>52</v>
      </c>
      <c r="B26" s="71">
        <v>15.0</v>
      </c>
      <c r="C26" s="71">
        <v>1.0</v>
      </c>
      <c r="D26" s="83" t="s">
        <v>35</v>
      </c>
      <c r="E26" s="72">
        <f t="shared" si="5"/>
        <v>6</v>
      </c>
      <c r="F26" s="73">
        <f t="shared" ref="F26:F28" si="9">MROUND(B26*0.8,5)</f>
        <v>10</v>
      </c>
      <c r="G26" s="71">
        <v>1100.0</v>
      </c>
      <c r="H26" s="72">
        <f t="shared" si="7"/>
        <v>11000</v>
      </c>
      <c r="N26" s="6"/>
      <c r="O26" s="19"/>
      <c r="P26" s="18"/>
      <c r="Q26" s="14"/>
    </row>
    <row r="27" ht="15.75" customHeight="1">
      <c r="A27" s="71" t="s">
        <v>52</v>
      </c>
      <c r="B27" s="71">
        <v>15.0</v>
      </c>
      <c r="C27" s="71">
        <v>1.0</v>
      </c>
      <c r="D27" s="83" t="s">
        <v>35</v>
      </c>
      <c r="E27" s="72">
        <f t="shared" si="5"/>
        <v>6</v>
      </c>
      <c r="F27" s="73">
        <f t="shared" si="9"/>
        <v>10</v>
      </c>
      <c r="G27" s="71">
        <v>1100.0</v>
      </c>
      <c r="H27" s="72">
        <f t="shared" si="7"/>
        <v>11000</v>
      </c>
      <c r="K27" s="14"/>
      <c r="L27" s="20"/>
      <c r="M27" s="20"/>
      <c r="N27" s="21"/>
      <c r="O27" s="19"/>
      <c r="P27" s="19"/>
      <c r="Q27" s="14"/>
    </row>
    <row r="28" ht="15.75" customHeight="1">
      <c r="A28" s="71" t="s">
        <v>52</v>
      </c>
      <c r="B28" s="71">
        <v>35.0</v>
      </c>
      <c r="C28" s="71">
        <v>1.0</v>
      </c>
      <c r="D28" s="83" t="s">
        <v>35</v>
      </c>
      <c r="E28" s="72">
        <f t="shared" si="5"/>
        <v>18</v>
      </c>
      <c r="F28" s="73">
        <f t="shared" si="9"/>
        <v>30</v>
      </c>
      <c r="G28" s="71">
        <v>1100.0</v>
      </c>
      <c r="H28" s="72">
        <f t="shared" si="7"/>
        <v>33000</v>
      </c>
      <c r="K28" s="14"/>
      <c r="L28" s="20"/>
      <c r="M28" s="20"/>
      <c r="N28" s="21"/>
      <c r="O28" s="19"/>
      <c r="P28" s="19"/>
      <c r="Q28" s="14"/>
    </row>
    <row r="29" ht="15.75" customHeight="1">
      <c r="A29" s="71" t="s">
        <v>53</v>
      </c>
      <c r="B29" s="71">
        <v>15.0</v>
      </c>
      <c r="C29" s="71">
        <v>1.0</v>
      </c>
      <c r="D29" s="83" t="s">
        <v>35</v>
      </c>
      <c r="E29" s="72">
        <f t="shared" si="5"/>
        <v>6</v>
      </c>
      <c r="F29" s="73">
        <f t="shared" ref="F29:F31" si="10">MROUND(B29*0.7,5)</f>
        <v>10</v>
      </c>
      <c r="G29" s="71">
        <v>1100.0</v>
      </c>
      <c r="H29" s="72">
        <f t="shared" si="7"/>
        <v>11000</v>
      </c>
      <c r="K29" s="14"/>
      <c r="L29" s="20"/>
      <c r="M29" s="20"/>
      <c r="N29" s="21"/>
      <c r="O29" s="19"/>
      <c r="P29" s="19"/>
      <c r="Q29" s="14"/>
    </row>
    <row r="30" ht="15.75" customHeight="1">
      <c r="A30" s="71" t="s">
        <v>53</v>
      </c>
      <c r="B30" s="71">
        <v>35.0</v>
      </c>
      <c r="C30" s="71">
        <v>1.0</v>
      </c>
      <c r="D30" s="83" t="s">
        <v>35</v>
      </c>
      <c r="E30" s="72">
        <f t="shared" si="5"/>
        <v>15</v>
      </c>
      <c r="F30" s="73">
        <f t="shared" si="10"/>
        <v>25</v>
      </c>
      <c r="G30" s="71">
        <v>1100.0</v>
      </c>
      <c r="H30" s="72">
        <f t="shared" si="7"/>
        <v>27500</v>
      </c>
      <c r="K30" s="14"/>
      <c r="L30" s="20"/>
      <c r="M30" s="20"/>
      <c r="N30" s="21"/>
      <c r="O30" s="19"/>
      <c r="P30" s="19"/>
      <c r="Q30" s="14"/>
    </row>
    <row r="31" ht="15.75" customHeight="1">
      <c r="A31" s="71" t="s">
        <v>53</v>
      </c>
      <c r="B31" s="71">
        <v>35.0</v>
      </c>
      <c r="C31" s="71">
        <v>1.0</v>
      </c>
      <c r="D31" s="83" t="s">
        <v>35</v>
      </c>
      <c r="E31" s="72">
        <f t="shared" si="5"/>
        <v>15</v>
      </c>
      <c r="F31" s="73">
        <f t="shared" si="10"/>
        <v>25</v>
      </c>
      <c r="G31" s="71">
        <v>1100.0</v>
      </c>
      <c r="H31" s="72">
        <f t="shared" si="7"/>
        <v>27500</v>
      </c>
      <c r="K31" s="14"/>
      <c r="L31" s="22"/>
      <c r="M31" s="20"/>
      <c r="N31" s="6"/>
      <c r="O31" s="19"/>
      <c r="P31" s="18"/>
      <c r="Q31" s="14"/>
    </row>
    <row r="32" ht="15.75" customHeight="1">
      <c r="A32" s="12" t="str">
        <f>"Total: "&amp;COUNTA(A20:A31)</f>
        <v>Total: 12</v>
      </c>
      <c r="B32" s="12"/>
      <c r="C32" s="12"/>
      <c r="D32" s="12"/>
      <c r="E32" s="12">
        <f>sum(E20:E31)</f>
        <v>129</v>
      </c>
      <c r="F32" s="12">
        <f>SUM(F20:F31)</f>
        <v>215</v>
      </c>
      <c r="G32" s="12"/>
      <c r="H32" s="12">
        <f>sum(H20:H31)</f>
        <v>205000</v>
      </c>
      <c r="I32" s="24" t="s">
        <v>16</v>
      </c>
      <c r="J32" s="4"/>
      <c r="K32" s="18"/>
      <c r="L32" s="18"/>
      <c r="M32" s="14"/>
      <c r="N32" s="14"/>
      <c r="O32" s="14"/>
      <c r="P32" s="14"/>
      <c r="Q32" s="14"/>
    </row>
    <row r="33" ht="15.75" customHeight="1">
      <c r="F33" s="13"/>
      <c r="H33" s="25">
        <f>I33*0.925</f>
        <v>206640.375</v>
      </c>
      <c r="I33" s="26">
        <f>(H2-H4-H7)</f>
        <v>223395</v>
      </c>
      <c r="J33" s="4"/>
      <c r="K33" s="18"/>
      <c r="L33" s="18"/>
      <c r="M33" s="14"/>
      <c r="N33" s="14"/>
      <c r="O33" s="14"/>
      <c r="P33" s="14"/>
      <c r="Q33" s="14"/>
    </row>
    <row r="34" ht="15.75" customHeight="1">
      <c r="G34" s="53" t="s">
        <v>36</v>
      </c>
      <c r="H34" s="54">
        <f>H33-H32</f>
        <v>1640.375</v>
      </c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27"/>
      <c r="B36" s="27"/>
      <c r="C36" s="27"/>
      <c r="D36" s="84" t="s">
        <v>54</v>
      </c>
      <c r="E36" s="28" t="s">
        <v>18</v>
      </c>
      <c r="F36" s="28" t="s">
        <v>19</v>
      </c>
      <c r="G36" s="85" t="s">
        <v>55</v>
      </c>
      <c r="H36" s="30" t="s">
        <v>20</v>
      </c>
      <c r="J36" s="4"/>
      <c r="K36" s="4"/>
      <c r="L36" s="4"/>
    </row>
    <row r="37" ht="15.75" customHeight="1">
      <c r="A37" s="86" t="s">
        <v>32</v>
      </c>
      <c r="B37" s="87"/>
      <c r="C37" s="87"/>
      <c r="D37" s="87">
        <f>H4/2</f>
        <v>143302.5</v>
      </c>
      <c r="E37" s="87">
        <f>SUM(E20:E25)</f>
        <v>63</v>
      </c>
      <c r="F37" s="88">
        <f>sum(F20:F25)</f>
        <v>105</v>
      </c>
      <c r="G37" s="87">
        <f>SUM(H20:H25)</f>
        <v>84000</v>
      </c>
      <c r="H37" s="89">
        <f t="shared" ref="H37:H38" si="11">(G37+D37)/F37</f>
        <v>2164.785714</v>
      </c>
      <c r="I37" s="4"/>
      <c r="J37" s="4"/>
      <c r="K37" s="4"/>
      <c r="L37" s="4"/>
    </row>
    <row r="38" ht="15.75" customHeight="1">
      <c r="A38" s="90" t="s">
        <v>38</v>
      </c>
      <c r="B38" s="91"/>
      <c r="C38" s="91"/>
      <c r="D38" s="92">
        <f>H4/2</f>
        <v>143302.5</v>
      </c>
      <c r="E38" s="92">
        <f>SUM(E26:E31)</f>
        <v>66</v>
      </c>
      <c r="F38" s="92">
        <f>sum(F26:F31)</f>
        <v>110</v>
      </c>
      <c r="G38" s="92">
        <f>SUM(H26:H31)</f>
        <v>121000</v>
      </c>
      <c r="H38" s="93">
        <f t="shared" si="11"/>
        <v>2402.75</v>
      </c>
      <c r="I38" s="4"/>
      <c r="J38" s="4"/>
      <c r="K38" s="4"/>
      <c r="L38" s="4"/>
    </row>
    <row r="39" ht="15.75" customHeight="1">
      <c r="A39" s="27" t="s">
        <v>17</v>
      </c>
      <c r="B39" s="27"/>
      <c r="C39" s="27"/>
      <c r="D39" s="27"/>
      <c r="E39" s="27"/>
      <c r="F39" s="28"/>
      <c r="G39" s="28"/>
      <c r="H39" s="29"/>
      <c r="J39" s="4"/>
      <c r="K39" s="4"/>
      <c r="L39" s="4"/>
    </row>
    <row r="40" ht="15.75" customHeight="1">
      <c r="A40" s="27"/>
      <c r="B40" s="27"/>
      <c r="C40" s="27"/>
      <c r="D40" s="27"/>
      <c r="E40" s="28" t="s">
        <v>18</v>
      </c>
      <c r="F40" s="28" t="s">
        <v>19</v>
      </c>
      <c r="G40" s="28"/>
      <c r="H40" s="30" t="s">
        <v>20</v>
      </c>
      <c r="J40" s="4"/>
      <c r="K40" s="4"/>
      <c r="L40" s="4"/>
    </row>
    <row r="41" ht="15.75" customHeight="1">
      <c r="A41" s="27"/>
      <c r="B41" s="27"/>
      <c r="C41" s="27"/>
      <c r="D41" s="27"/>
      <c r="E41" s="27">
        <f>(E15+E32)*1000</f>
        <v>947125</v>
      </c>
      <c r="F41" s="30">
        <f>(F15+F32)*1000</f>
        <v>3487500</v>
      </c>
      <c r="G41" s="28"/>
      <c r="H41" s="94">
        <f>(H2/F41)*1000</f>
        <v>172.0430108</v>
      </c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5"/>
      <c r="B44" s="4"/>
      <c r="C44" s="4"/>
      <c r="D44" s="4"/>
      <c r="E44" s="5"/>
      <c r="F44" s="5"/>
      <c r="G44" s="5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5"/>
      <c r="B48" s="32"/>
      <c r="C48" s="32"/>
      <c r="D48" s="32"/>
      <c r="E48" s="4"/>
      <c r="F48" s="4"/>
      <c r="G48" s="4"/>
      <c r="H48" s="4"/>
      <c r="I48" s="4"/>
      <c r="J48" s="4"/>
      <c r="K48" s="4"/>
      <c r="L48" s="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34" t="s">
        <v>21</v>
      </c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35">
        <v>1200000.0</v>
      </c>
      <c r="I2" s="4"/>
      <c r="J2" s="4">
        <f>H4+H15+I45</f>
        <v>1200000</v>
      </c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J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57">
        <v>448965.0</v>
      </c>
      <c r="I4" s="16">
        <f>H2*0.3</f>
        <v>360000</v>
      </c>
    </row>
    <row r="5" ht="15.75" customHeight="1">
      <c r="A5" s="9" t="s">
        <v>4</v>
      </c>
      <c r="B5" s="8"/>
      <c r="C5" s="8"/>
      <c r="D5" s="8"/>
      <c r="E5" s="8"/>
      <c r="F5" s="8"/>
      <c r="G5" s="8"/>
      <c r="H5" s="10">
        <f>H4/H2</f>
        <v>0.3741375</v>
      </c>
    </row>
    <row r="6" ht="15.75" customHeight="1">
      <c r="H6" s="11"/>
    </row>
    <row r="7" ht="15.75" customHeight="1">
      <c r="A7" s="36" t="s">
        <v>22</v>
      </c>
      <c r="B7" s="36"/>
      <c r="C7" s="36"/>
      <c r="D7" s="36"/>
      <c r="E7" s="36"/>
      <c r="F7" s="36"/>
      <c r="G7" s="36"/>
      <c r="H7" s="95">
        <v>220000.0</v>
      </c>
    </row>
    <row r="8" ht="15.75" customHeight="1">
      <c r="A8" s="37" t="s">
        <v>4</v>
      </c>
      <c r="B8" s="36"/>
      <c r="C8" s="36"/>
      <c r="D8" s="36"/>
      <c r="E8" s="36"/>
      <c r="F8" s="36"/>
      <c r="G8" s="36"/>
      <c r="H8" s="38">
        <f>H7/H2</f>
        <v>0.1833333333</v>
      </c>
    </row>
    <row r="9" ht="15.75" customHeight="1">
      <c r="A9" s="36"/>
      <c r="B9" s="39" t="s">
        <v>23</v>
      </c>
      <c r="C9" s="39" t="s">
        <v>24</v>
      </c>
      <c r="D9" s="39" t="s">
        <v>25</v>
      </c>
      <c r="E9" s="39" t="s">
        <v>18</v>
      </c>
      <c r="F9" s="39" t="s">
        <v>19</v>
      </c>
      <c r="G9" s="39" t="s">
        <v>26</v>
      </c>
      <c r="H9" s="36"/>
      <c r="K9" s="14"/>
      <c r="L9" s="14"/>
      <c r="M9" s="14"/>
      <c r="N9" s="14"/>
      <c r="O9" s="14"/>
      <c r="P9" s="14"/>
      <c r="Q9" s="14"/>
    </row>
    <row r="10" ht="15.75" customHeight="1">
      <c r="A10" s="16" t="s">
        <v>27</v>
      </c>
      <c r="B10" s="50">
        <v>14.0</v>
      </c>
      <c r="C10" s="16">
        <v>2000.0</v>
      </c>
      <c r="D10" s="17"/>
      <c r="E10" s="17"/>
      <c r="F10" s="17"/>
      <c r="G10" s="17"/>
      <c r="H10" s="17">
        <f>B10*C10</f>
        <v>28000</v>
      </c>
      <c r="K10" s="14"/>
      <c r="L10" s="14"/>
      <c r="M10" s="14"/>
      <c r="N10" s="14"/>
      <c r="O10" s="14"/>
      <c r="P10" s="14"/>
      <c r="Q10" s="14"/>
    </row>
    <row r="11" ht="15.75" customHeight="1">
      <c r="A11" s="58" t="s">
        <v>40</v>
      </c>
      <c r="B11" s="59"/>
      <c r="C11" s="59"/>
      <c r="D11" s="60" t="s">
        <v>29</v>
      </c>
      <c r="E11" s="61">
        <f t="shared" ref="E11:E15" si="1">F11*0.25</f>
        <v>510000</v>
      </c>
      <c r="F11" s="61">
        <f t="shared" ref="F11:F12" si="2">sum(1000*H11)/G11*0.85</f>
        <v>2040000</v>
      </c>
      <c r="G11" s="62">
        <v>20.0</v>
      </c>
      <c r="H11" s="63">
        <v>48000.0</v>
      </c>
      <c r="K11" s="49" t="s">
        <v>20</v>
      </c>
      <c r="L11" s="49" t="s">
        <v>33</v>
      </c>
      <c r="M11" s="49" t="s">
        <v>34</v>
      </c>
      <c r="N11" s="14"/>
      <c r="O11" s="14"/>
      <c r="P11" s="14"/>
      <c r="Q11" s="14"/>
    </row>
    <row r="12" ht="15.75" customHeight="1">
      <c r="A12" s="58" t="s">
        <v>41</v>
      </c>
      <c r="B12" s="59"/>
      <c r="C12" s="59"/>
      <c r="D12" s="60" t="s">
        <v>29</v>
      </c>
      <c r="E12" s="61">
        <f t="shared" si="1"/>
        <v>680000</v>
      </c>
      <c r="F12" s="61">
        <f t="shared" si="2"/>
        <v>2720000</v>
      </c>
      <c r="G12" s="62">
        <v>15.0</v>
      </c>
      <c r="H12" s="63">
        <v>48000.0</v>
      </c>
      <c r="K12" s="49"/>
      <c r="L12" s="49"/>
      <c r="M12" s="49"/>
      <c r="N12" s="14"/>
      <c r="O12" s="14"/>
      <c r="P12" s="14"/>
      <c r="Q12" s="14"/>
    </row>
    <row r="13" ht="15.75" customHeight="1">
      <c r="A13" s="64" t="s">
        <v>42</v>
      </c>
      <c r="B13" s="65"/>
      <c r="C13" s="65"/>
      <c r="D13" s="66" t="s">
        <v>29</v>
      </c>
      <c r="E13" s="67">
        <f t="shared" si="1"/>
        <v>510000</v>
      </c>
      <c r="F13" s="67">
        <f>sum(1000*H13)/G13*0.85</f>
        <v>2040000</v>
      </c>
      <c r="G13" s="68">
        <v>20.0</v>
      </c>
      <c r="H13" s="69">
        <v>48000.0</v>
      </c>
      <c r="I13" s="19"/>
      <c r="K13" s="49"/>
      <c r="L13" s="13"/>
      <c r="M13" s="52"/>
      <c r="N13" s="70"/>
      <c r="O13" s="14"/>
      <c r="P13" s="14"/>
      <c r="Q13" s="14"/>
    </row>
    <row r="14" ht="15.75" customHeight="1">
      <c r="A14" s="71" t="s">
        <v>43</v>
      </c>
      <c r="B14" s="72"/>
      <c r="C14" s="72"/>
      <c r="D14" s="73" t="s">
        <v>29</v>
      </c>
      <c r="E14" s="67">
        <f t="shared" si="1"/>
        <v>680000</v>
      </c>
      <c r="F14" s="67">
        <f>sum(1000*H14)/G14*0.85</f>
        <v>2720000</v>
      </c>
      <c r="G14" s="68">
        <v>15.0</v>
      </c>
      <c r="H14" s="69">
        <v>48000.0</v>
      </c>
      <c r="I14" s="19"/>
      <c r="K14" s="49" t="s">
        <v>32</v>
      </c>
      <c r="L14" s="13">
        <f>(89*11)*0.7</f>
        <v>685.3</v>
      </c>
      <c r="M14" s="52">
        <f>(118*11)*0.7</f>
        <v>908.6</v>
      </c>
      <c r="N14" s="70" t="s">
        <v>44</v>
      </c>
      <c r="O14" s="14"/>
      <c r="P14" s="14"/>
      <c r="Q14" s="14"/>
    </row>
    <row r="15" ht="15.75" customHeight="1">
      <c r="A15" s="36" t="s">
        <v>15</v>
      </c>
      <c r="B15" s="36"/>
      <c r="C15" s="36"/>
      <c r="D15" s="36"/>
      <c r="E15" s="41">
        <f t="shared" si="1"/>
        <v>2380</v>
      </c>
      <c r="F15" s="42">
        <f>sum(F10:F14)/1000</f>
        <v>9520</v>
      </c>
      <c r="G15" s="43"/>
      <c r="H15" s="44">
        <f>sum(H10:H14)</f>
        <v>220000</v>
      </c>
      <c r="I15" s="18"/>
      <c r="K15" s="74" t="s">
        <v>38</v>
      </c>
      <c r="L15" s="75">
        <f t="shared" ref="L15:M15" si="3">L14*2</f>
        <v>1370.6</v>
      </c>
      <c r="M15" s="76">
        <f t="shared" si="3"/>
        <v>1817.2</v>
      </c>
      <c r="N15" s="77" t="s">
        <v>45</v>
      </c>
      <c r="O15" s="14"/>
      <c r="P15" s="14"/>
      <c r="Q15" s="14"/>
    </row>
    <row r="16" ht="15.75" customHeight="1">
      <c r="A16" s="39" t="s">
        <v>4</v>
      </c>
      <c r="B16" s="36"/>
      <c r="C16" s="36"/>
      <c r="D16" s="36"/>
      <c r="E16" s="45"/>
      <c r="F16" s="46"/>
      <c r="G16" s="43"/>
      <c r="H16" s="47">
        <f>H15/H2</f>
        <v>0.1833333333</v>
      </c>
      <c r="I16" s="18"/>
      <c r="K16" s="78" t="s">
        <v>46</v>
      </c>
      <c r="L16" s="78">
        <f>70*9.5</f>
        <v>665</v>
      </c>
      <c r="M16" s="78">
        <f>80*9.5</f>
        <v>760</v>
      </c>
      <c r="N16" s="78" t="s">
        <v>47</v>
      </c>
      <c r="O16" s="14"/>
      <c r="P16" s="14"/>
      <c r="Q16" s="14"/>
    </row>
    <row r="17" ht="15.75" customHeight="1">
      <c r="I17" s="14"/>
      <c r="K17" s="14"/>
      <c r="L17" s="14"/>
      <c r="M17" s="14"/>
      <c r="N17" s="14"/>
      <c r="O17" s="14"/>
      <c r="P17" s="14"/>
      <c r="Q17" s="14"/>
    </row>
    <row r="18" ht="15.75" customHeight="1">
      <c r="A18" s="48" t="s">
        <v>31</v>
      </c>
      <c r="B18" s="12"/>
      <c r="C18" s="12"/>
      <c r="D18" s="12"/>
      <c r="E18" s="12"/>
      <c r="F18" s="12"/>
      <c r="G18" s="12"/>
      <c r="H18" s="12"/>
      <c r="I18" s="13"/>
      <c r="K18" s="14"/>
      <c r="L18" s="14"/>
      <c r="M18" s="14"/>
      <c r="N18" s="14"/>
      <c r="O18" s="14"/>
      <c r="P18" s="14"/>
      <c r="Q18" s="14"/>
    </row>
    <row r="19" ht="15.75" customHeight="1">
      <c r="A19" s="15" t="s">
        <v>6</v>
      </c>
      <c r="B19" s="15" t="s">
        <v>7</v>
      </c>
      <c r="C19" s="15" t="s">
        <v>8</v>
      </c>
      <c r="D19" s="15" t="s">
        <v>9</v>
      </c>
      <c r="E19" s="15" t="s">
        <v>18</v>
      </c>
      <c r="F19" s="15" t="s">
        <v>11</v>
      </c>
      <c r="G19" s="15" t="s">
        <v>12</v>
      </c>
      <c r="H19" s="80" t="s">
        <v>49</v>
      </c>
      <c r="I19" s="13"/>
      <c r="N19" s="14"/>
      <c r="O19" s="14"/>
      <c r="P19" s="14"/>
      <c r="Q19" s="14"/>
    </row>
    <row r="20" ht="15.75" customHeight="1">
      <c r="A20" s="58" t="s">
        <v>50</v>
      </c>
      <c r="B20" s="58">
        <v>15.0</v>
      </c>
      <c r="C20" s="58">
        <v>1.0</v>
      </c>
      <c r="D20" s="81" t="s">
        <v>35</v>
      </c>
      <c r="E20" s="59">
        <f t="shared" ref="E20:E43" si="4">F20*0.6</f>
        <v>6</v>
      </c>
      <c r="F20" s="60">
        <f t="shared" ref="F20:F25" si="5">MROUND(B20*0.8,5)</f>
        <v>10</v>
      </c>
      <c r="G20" s="82">
        <v>800.0</v>
      </c>
      <c r="H20" s="59">
        <f t="shared" ref="H20:H43" si="6">F20*G20*C20</f>
        <v>8000</v>
      </c>
      <c r="N20" s="6"/>
      <c r="O20" s="19"/>
      <c r="P20" s="18"/>
      <c r="Q20" s="14"/>
    </row>
    <row r="21" ht="15.75" customHeight="1">
      <c r="A21" s="58" t="s">
        <v>50</v>
      </c>
      <c r="B21" s="58">
        <v>15.0</v>
      </c>
      <c r="C21" s="58">
        <v>1.0</v>
      </c>
      <c r="D21" s="81" t="s">
        <v>35</v>
      </c>
      <c r="E21" s="59">
        <f t="shared" si="4"/>
        <v>6</v>
      </c>
      <c r="F21" s="60">
        <f t="shared" si="5"/>
        <v>10</v>
      </c>
      <c r="G21" s="82">
        <v>800.0</v>
      </c>
      <c r="H21" s="59">
        <f t="shared" si="6"/>
        <v>8000</v>
      </c>
      <c r="N21" s="21"/>
      <c r="O21" s="19"/>
      <c r="P21" s="19"/>
      <c r="Q21" s="14"/>
    </row>
    <row r="22" ht="15.75" customHeight="1">
      <c r="A22" s="58" t="s">
        <v>50</v>
      </c>
      <c r="B22" s="58">
        <v>15.0</v>
      </c>
      <c r="C22" s="58">
        <v>1.0</v>
      </c>
      <c r="D22" s="81" t="s">
        <v>35</v>
      </c>
      <c r="E22" s="59">
        <f t="shared" si="4"/>
        <v>6</v>
      </c>
      <c r="F22" s="60">
        <f t="shared" si="5"/>
        <v>10</v>
      </c>
      <c r="G22" s="82">
        <v>800.0</v>
      </c>
      <c r="H22" s="59">
        <f t="shared" si="6"/>
        <v>8000</v>
      </c>
      <c r="K22" s="14"/>
      <c r="L22" s="20"/>
      <c r="M22" s="20"/>
      <c r="N22" s="21"/>
      <c r="O22" s="19"/>
      <c r="P22" s="19"/>
      <c r="Q22" s="14"/>
    </row>
    <row r="23" ht="15.75" customHeight="1">
      <c r="A23" s="58" t="s">
        <v>50</v>
      </c>
      <c r="B23" s="58">
        <v>35.0</v>
      </c>
      <c r="C23" s="58">
        <v>1.0</v>
      </c>
      <c r="D23" s="81" t="s">
        <v>35</v>
      </c>
      <c r="E23" s="59">
        <f t="shared" si="4"/>
        <v>18</v>
      </c>
      <c r="F23" s="60">
        <f t="shared" si="5"/>
        <v>30</v>
      </c>
      <c r="G23" s="82">
        <v>800.0</v>
      </c>
      <c r="H23" s="59">
        <f t="shared" si="6"/>
        <v>24000</v>
      </c>
      <c r="N23" s="6"/>
      <c r="O23" s="19"/>
      <c r="P23" s="18"/>
      <c r="Q23" s="14"/>
    </row>
    <row r="24" ht="15.75" customHeight="1">
      <c r="A24" s="58" t="s">
        <v>50</v>
      </c>
      <c r="B24" s="58">
        <v>35.0</v>
      </c>
      <c r="C24" s="58">
        <v>1.0</v>
      </c>
      <c r="D24" s="81" t="s">
        <v>35</v>
      </c>
      <c r="E24" s="59">
        <f t="shared" si="4"/>
        <v>18</v>
      </c>
      <c r="F24" s="60">
        <f t="shared" si="5"/>
        <v>30</v>
      </c>
      <c r="G24" s="82">
        <v>800.0</v>
      </c>
      <c r="H24" s="59">
        <f t="shared" si="6"/>
        <v>24000</v>
      </c>
      <c r="N24" s="21"/>
      <c r="O24" s="19"/>
      <c r="P24" s="19"/>
      <c r="Q24" s="14"/>
    </row>
    <row r="25" ht="15.75" customHeight="1">
      <c r="A25" s="58" t="s">
        <v>50</v>
      </c>
      <c r="B25" s="58">
        <v>35.0</v>
      </c>
      <c r="C25" s="58">
        <v>1.0</v>
      </c>
      <c r="D25" s="81" t="s">
        <v>35</v>
      </c>
      <c r="E25" s="59">
        <f t="shared" si="4"/>
        <v>18</v>
      </c>
      <c r="F25" s="60">
        <f t="shared" si="5"/>
        <v>30</v>
      </c>
      <c r="G25" s="82">
        <v>800.0</v>
      </c>
      <c r="H25" s="59">
        <f t="shared" si="6"/>
        <v>24000</v>
      </c>
      <c r="K25" s="14"/>
      <c r="L25" s="20"/>
      <c r="M25" s="20"/>
      <c r="N25" s="21"/>
      <c r="O25" s="19"/>
      <c r="P25" s="19"/>
      <c r="Q25" s="14"/>
    </row>
    <row r="26" ht="15.75" customHeight="1">
      <c r="A26" s="96" t="s">
        <v>51</v>
      </c>
      <c r="B26" s="97">
        <v>15.0</v>
      </c>
      <c r="C26" s="98">
        <v>1.0</v>
      </c>
      <c r="D26" s="99" t="s">
        <v>35</v>
      </c>
      <c r="E26" s="100">
        <f t="shared" si="4"/>
        <v>6</v>
      </c>
      <c r="F26" s="101">
        <f t="shared" ref="F26:F28" si="7">MROUND(B26*0.7,5)</f>
        <v>10</v>
      </c>
      <c r="G26" s="102">
        <v>800.0</v>
      </c>
      <c r="H26" s="100">
        <f t="shared" si="6"/>
        <v>8000</v>
      </c>
      <c r="I26" s="103"/>
      <c r="J26" s="103"/>
      <c r="K26" s="18"/>
      <c r="L26" s="22"/>
      <c r="M26" s="22"/>
      <c r="N26" s="6"/>
      <c r="O26" s="18"/>
      <c r="P26" s="18"/>
      <c r="Q26" s="18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</row>
    <row r="27" ht="15.75" customHeight="1">
      <c r="A27" s="96" t="s">
        <v>51</v>
      </c>
      <c r="B27" s="97">
        <v>15.0</v>
      </c>
      <c r="C27" s="98">
        <v>1.0</v>
      </c>
      <c r="D27" s="99" t="s">
        <v>35</v>
      </c>
      <c r="E27" s="100">
        <f t="shared" si="4"/>
        <v>6</v>
      </c>
      <c r="F27" s="101">
        <f t="shared" si="7"/>
        <v>10</v>
      </c>
      <c r="G27" s="102">
        <v>800.0</v>
      </c>
      <c r="H27" s="100">
        <f t="shared" si="6"/>
        <v>8000</v>
      </c>
      <c r="I27" s="103"/>
      <c r="J27" s="103"/>
      <c r="K27" s="18"/>
      <c r="L27" s="22"/>
      <c r="M27" s="22"/>
      <c r="N27" s="6"/>
      <c r="O27" s="18"/>
      <c r="P27" s="18"/>
      <c r="Q27" s="18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</row>
    <row r="28" ht="15.75" customHeight="1">
      <c r="A28" s="96" t="s">
        <v>51</v>
      </c>
      <c r="B28" s="98">
        <v>35.0</v>
      </c>
      <c r="C28" s="98">
        <v>1.0</v>
      </c>
      <c r="D28" s="99" t="s">
        <v>35</v>
      </c>
      <c r="E28" s="100">
        <f t="shared" si="4"/>
        <v>15</v>
      </c>
      <c r="F28" s="101">
        <f t="shared" si="7"/>
        <v>25</v>
      </c>
      <c r="G28" s="102">
        <v>800.0</v>
      </c>
      <c r="H28" s="100">
        <f t="shared" si="6"/>
        <v>20000</v>
      </c>
      <c r="I28" s="103"/>
      <c r="J28" s="103"/>
      <c r="K28" s="18"/>
      <c r="L28" s="22"/>
      <c r="M28" s="22"/>
      <c r="N28" s="6"/>
      <c r="O28" s="18"/>
      <c r="P28" s="18"/>
      <c r="Q28" s="18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</row>
    <row r="29" ht="15.75" customHeight="1">
      <c r="A29" s="58" t="s">
        <v>51</v>
      </c>
      <c r="B29" s="58">
        <v>35.0</v>
      </c>
      <c r="C29" s="58">
        <v>1.0</v>
      </c>
      <c r="D29" s="81" t="s">
        <v>35</v>
      </c>
      <c r="E29" s="59">
        <f t="shared" si="4"/>
        <v>15</v>
      </c>
      <c r="F29" s="60">
        <f t="shared" ref="F29:F31" si="8">MROUND(B29*0.7,5)</f>
        <v>25</v>
      </c>
      <c r="G29" s="82">
        <v>800.0</v>
      </c>
      <c r="H29" s="59">
        <f t="shared" si="6"/>
        <v>20000</v>
      </c>
      <c r="K29" s="14"/>
      <c r="L29" s="20"/>
      <c r="M29" s="20"/>
      <c r="N29" s="21"/>
      <c r="O29" s="19"/>
      <c r="P29" s="19"/>
      <c r="Q29" s="14"/>
    </row>
    <row r="30" ht="15.75" customHeight="1">
      <c r="A30" s="58" t="s">
        <v>51</v>
      </c>
      <c r="B30" s="58">
        <v>35.0</v>
      </c>
      <c r="C30" s="58">
        <v>1.0</v>
      </c>
      <c r="D30" s="81" t="s">
        <v>35</v>
      </c>
      <c r="E30" s="59">
        <f t="shared" si="4"/>
        <v>15</v>
      </c>
      <c r="F30" s="60">
        <f t="shared" si="8"/>
        <v>25</v>
      </c>
      <c r="G30" s="82">
        <v>800.0</v>
      </c>
      <c r="H30" s="59">
        <f t="shared" si="6"/>
        <v>20000</v>
      </c>
      <c r="K30" s="14"/>
      <c r="L30" s="20"/>
      <c r="M30" s="20"/>
      <c r="N30" s="21"/>
      <c r="O30" s="19"/>
      <c r="P30" s="19"/>
      <c r="Q30" s="14"/>
    </row>
    <row r="31" ht="15.75" customHeight="1">
      <c r="A31" s="58" t="s">
        <v>51</v>
      </c>
      <c r="B31" s="58">
        <v>75.0</v>
      </c>
      <c r="C31" s="58">
        <v>1.0</v>
      </c>
      <c r="D31" s="81" t="s">
        <v>35</v>
      </c>
      <c r="E31" s="59">
        <f t="shared" si="4"/>
        <v>33</v>
      </c>
      <c r="F31" s="60">
        <f t="shared" si="8"/>
        <v>55</v>
      </c>
      <c r="G31" s="82">
        <v>800.0</v>
      </c>
      <c r="H31" s="59">
        <f t="shared" si="6"/>
        <v>44000</v>
      </c>
      <c r="K31" s="14"/>
      <c r="L31" s="22"/>
      <c r="M31" s="20"/>
      <c r="N31" s="6"/>
      <c r="O31" s="19"/>
      <c r="P31" s="18"/>
      <c r="Q31" s="14"/>
    </row>
    <row r="32" ht="15.75" customHeight="1">
      <c r="A32" s="71" t="s">
        <v>52</v>
      </c>
      <c r="B32" s="71">
        <v>15.0</v>
      </c>
      <c r="C32" s="71">
        <v>1.0</v>
      </c>
      <c r="D32" s="83" t="s">
        <v>35</v>
      </c>
      <c r="E32" s="72">
        <f t="shared" si="4"/>
        <v>6</v>
      </c>
      <c r="F32" s="73">
        <f t="shared" ref="F32:F37" si="9">MROUND(B32*0.8,5)</f>
        <v>10</v>
      </c>
      <c r="G32" s="71">
        <v>1100.0</v>
      </c>
      <c r="H32" s="72">
        <f t="shared" si="6"/>
        <v>11000</v>
      </c>
      <c r="N32" s="6"/>
      <c r="O32" s="19"/>
      <c r="P32" s="18"/>
      <c r="Q32" s="14"/>
    </row>
    <row r="33" ht="15.75" customHeight="1">
      <c r="A33" s="71" t="s">
        <v>52</v>
      </c>
      <c r="B33" s="71">
        <v>15.0</v>
      </c>
      <c r="C33" s="71">
        <v>1.0</v>
      </c>
      <c r="D33" s="83" t="s">
        <v>35</v>
      </c>
      <c r="E33" s="72">
        <f t="shared" si="4"/>
        <v>6</v>
      </c>
      <c r="F33" s="73">
        <f t="shared" si="9"/>
        <v>10</v>
      </c>
      <c r="G33" s="71">
        <v>1100.0</v>
      </c>
      <c r="H33" s="72">
        <f t="shared" si="6"/>
        <v>11000</v>
      </c>
      <c r="K33" s="14"/>
      <c r="L33" s="20"/>
      <c r="M33" s="20"/>
      <c r="N33" s="21"/>
      <c r="O33" s="19"/>
      <c r="P33" s="19"/>
      <c r="Q33" s="14"/>
    </row>
    <row r="34" ht="15.75" customHeight="1">
      <c r="A34" s="71" t="s">
        <v>52</v>
      </c>
      <c r="B34" s="71">
        <v>15.0</v>
      </c>
      <c r="C34" s="71">
        <v>1.0</v>
      </c>
      <c r="D34" s="83" t="s">
        <v>35</v>
      </c>
      <c r="E34" s="72">
        <f t="shared" si="4"/>
        <v>6</v>
      </c>
      <c r="F34" s="73">
        <f t="shared" si="9"/>
        <v>10</v>
      </c>
      <c r="G34" s="71">
        <v>1100.0</v>
      </c>
      <c r="H34" s="72">
        <f t="shared" si="6"/>
        <v>11000</v>
      </c>
      <c r="K34" s="14"/>
      <c r="L34" s="20"/>
      <c r="M34" s="20"/>
      <c r="N34" s="21"/>
      <c r="O34" s="19"/>
      <c r="P34" s="19"/>
      <c r="Q34" s="14"/>
    </row>
    <row r="35" ht="15.75" customHeight="1">
      <c r="A35" s="71" t="s">
        <v>52</v>
      </c>
      <c r="B35" s="71">
        <v>15.0</v>
      </c>
      <c r="C35" s="71">
        <v>1.0</v>
      </c>
      <c r="D35" s="83" t="s">
        <v>35</v>
      </c>
      <c r="E35" s="72">
        <f t="shared" si="4"/>
        <v>6</v>
      </c>
      <c r="F35" s="73">
        <f t="shared" si="9"/>
        <v>10</v>
      </c>
      <c r="G35" s="71">
        <v>1100.0</v>
      </c>
      <c r="H35" s="72">
        <f t="shared" si="6"/>
        <v>11000</v>
      </c>
      <c r="N35" s="6"/>
      <c r="O35" s="19"/>
      <c r="P35" s="18"/>
      <c r="Q35" s="14"/>
    </row>
    <row r="36" ht="15.75" customHeight="1">
      <c r="A36" s="71" t="s">
        <v>52</v>
      </c>
      <c r="B36" s="71">
        <v>35.0</v>
      </c>
      <c r="C36" s="71">
        <v>1.0</v>
      </c>
      <c r="D36" s="83" t="s">
        <v>35</v>
      </c>
      <c r="E36" s="72">
        <f t="shared" si="4"/>
        <v>18</v>
      </c>
      <c r="F36" s="73">
        <f t="shared" si="9"/>
        <v>30</v>
      </c>
      <c r="G36" s="71">
        <v>1100.0</v>
      </c>
      <c r="H36" s="72">
        <f t="shared" si="6"/>
        <v>33000</v>
      </c>
      <c r="K36" s="14"/>
      <c r="L36" s="20"/>
      <c r="M36" s="20"/>
      <c r="N36" s="21"/>
      <c r="O36" s="19"/>
      <c r="P36" s="19"/>
      <c r="Q36" s="14"/>
    </row>
    <row r="37" ht="15.75" customHeight="1">
      <c r="A37" s="71" t="s">
        <v>52</v>
      </c>
      <c r="B37" s="71">
        <v>35.0</v>
      </c>
      <c r="C37" s="71">
        <v>1.0</v>
      </c>
      <c r="D37" s="83" t="s">
        <v>35</v>
      </c>
      <c r="E37" s="72">
        <f t="shared" si="4"/>
        <v>18</v>
      </c>
      <c r="F37" s="73">
        <f t="shared" si="9"/>
        <v>30</v>
      </c>
      <c r="G37" s="71">
        <v>1100.0</v>
      </c>
      <c r="H37" s="72">
        <f t="shared" si="6"/>
        <v>33000</v>
      </c>
      <c r="K37" s="14"/>
      <c r="L37" s="20"/>
      <c r="M37" s="20"/>
      <c r="N37" s="21"/>
      <c r="O37" s="19"/>
      <c r="P37" s="19"/>
      <c r="Q37" s="14"/>
    </row>
    <row r="38" ht="15.75" customHeight="1">
      <c r="A38" s="104" t="s">
        <v>53</v>
      </c>
      <c r="B38" s="105">
        <v>35.0</v>
      </c>
      <c r="C38" s="106">
        <v>1.0</v>
      </c>
      <c r="D38" s="107" t="s">
        <v>35</v>
      </c>
      <c r="E38" s="108">
        <f t="shared" si="4"/>
        <v>15</v>
      </c>
      <c r="F38" s="109">
        <f t="shared" ref="F38:F40" si="10">MROUND(B38*0.7,5)</f>
        <v>25</v>
      </c>
      <c r="G38" s="106">
        <v>1100.0</v>
      </c>
      <c r="H38" s="108">
        <f t="shared" si="6"/>
        <v>27500</v>
      </c>
      <c r="I38" s="103"/>
      <c r="J38" s="103"/>
      <c r="K38" s="18"/>
      <c r="L38" s="22"/>
      <c r="M38" s="22"/>
      <c r="N38" s="6"/>
      <c r="O38" s="18"/>
      <c r="P38" s="18"/>
      <c r="Q38" s="18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</row>
    <row r="39" ht="15.75" customHeight="1">
      <c r="A39" s="104" t="s">
        <v>53</v>
      </c>
      <c r="B39" s="106">
        <v>35.0</v>
      </c>
      <c r="C39" s="106">
        <v>1.0</v>
      </c>
      <c r="D39" s="107" t="s">
        <v>35</v>
      </c>
      <c r="E39" s="108">
        <f t="shared" si="4"/>
        <v>15</v>
      </c>
      <c r="F39" s="109">
        <f t="shared" si="10"/>
        <v>25</v>
      </c>
      <c r="G39" s="106">
        <v>1100.0</v>
      </c>
      <c r="H39" s="108">
        <f t="shared" si="6"/>
        <v>27500</v>
      </c>
      <c r="I39" s="103"/>
      <c r="J39" s="103"/>
      <c r="K39" s="18"/>
      <c r="L39" s="22"/>
      <c r="M39" s="22"/>
      <c r="N39" s="6"/>
      <c r="O39" s="18"/>
      <c r="P39" s="18"/>
      <c r="Q39" s="18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</row>
    <row r="40" ht="15.75" customHeight="1">
      <c r="A40" s="104" t="s">
        <v>53</v>
      </c>
      <c r="B40" s="106">
        <v>35.0</v>
      </c>
      <c r="C40" s="106">
        <v>1.0</v>
      </c>
      <c r="D40" s="107" t="s">
        <v>35</v>
      </c>
      <c r="E40" s="108">
        <f t="shared" si="4"/>
        <v>15</v>
      </c>
      <c r="F40" s="109">
        <f t="shared" si="10"/>
        <v>25</v>
      </c>
      <c r="G40" s="106">
        <v>1100.0</v>
      </c>
      <c r="H40" s="108">
        <f t="shared" si="6"/>
        <v>27500</v>
      </c>
      <c r="I40" s="103"/>
      <c r="J40" s="103"/>
      <c r="K40" s="18"/>
      <c r="L40" s="22"/>
      <c r="M40" s="22"/>
      <c r="N40" s="6"/>
      <c r="O40" s="18"/>
      <c r="P40" s="18"/>
      <c r="Q40" s="18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</row>
    <row r="41" ht="15.75" customHeight="1">
      <c r="A41" s="71" t="s">
        <v>53</v>
      </c>
      <c r="B41" s="71">
        <v>35.0</v>
      </c>
      <c r="C41" s="71">
        <v>1.0</v>
      </c>
      <c r="D41" s="83" t="s">
        <v>35</v>
      </c>
      <c r="E41" s="72">
        <f t="shared" si="4"/>
        <v>15</v>
      </c>
      <c r="F41" s="73">
        <f t="shared" ref="F41:F43" si="11">MROUND(B41*0.7,5)</f>
        <v>25</v>
      </c>
      <c r="G41" s="71">
        <v>1100.0</v>
      </c>
      <c r="H41" s="72">
        <f t="shared" si="6"/>
        <v>27500</v>
      </c>
      <c r="K41" s="14"/>
      <c r="L41" s="20"/>
      <c r="M41" s="20"/>
      <c r="N41" s="21"/>
      <c r="O41" s="19"/>
      <c r="P41" s="19"/>
      <c r="Q41" s="14"/>
    </row>
    <row r="42" ht="15.75" customHeight="1">
      <c r="A42" s="71" t="s">
        <v>53</v>
      </c>
      <c r="B42" s="71">
        <v>35.0</v>
      </c>
      <c r="C42" s="71">
        <v>1.0</v>
      </c>
      <c r="D42" s="83" t="s">
        <v>35</v>
      </c>
      <c r="E42" s="72">
        <f t="shared" si="4"/>
        <v>15</v>
      </c>
      <c r="F42" s="73">
        <f t="shared" si="11"/>
        <v>25</v>
      </c>
      <c r="G42" s="71">
        <v>1100.0</v>
      </c>
      <c r="H42" s="72">
        <f t="shared" si="6"/>
        <v>27500</v>
      </c>
      <c r="K42" s="14"/>
      <c r="L42" s="20"/>
      <c r="M42" s="20"/>
      <c r="N42" s="21"/>
      <c r="O42" s="19"/>
      <c r="P42" s="19"/>
      <c r="Q42" s="14"/>
    </row>
    <row r="43" ht="15.75" customHeight="1">
      <c r="A43" s="71" t="s">
        <v>53</v>
      </c>
      <c r="B43" s="71">
        <v>35.0</v>
      </c>
      <c r="C43" s="71">
        <v>1.0</v>
      </c>
      <c r="D43" s="83" t="s">
        <v>35</v>
      </c>
      <c r="E43" s="72">
        <f t="shared" si="4"/>
        <v>15</v>
      </c>
      <c r="F43" s="73">
        <f t="shared" si="11"/>
        <v>25</v>
      </c>
      <c r="G43" s="71">
        <v>1100.0</v>
      </c>
      <c r="H43" s="72">
        <f t="shared" si="6"/>
        <v>27500</v>
      </c>
      <c r="K43" s="14"/>
      <c r="L43" s="22"/>
      <c r="M43" s="20"/>
      <c r="N43" s="6"/>
      <c r="O43" s="19"/>
      <c r="P43" s="18"/>
      <c r="Q43" s="14"/>
    </row>
    <row r="44" ht="15.75" customHeight="1">
      <c r="A44" s="12" t="str">
        <f>"Total: "&amp;COUNTA(A20:A43)</f>
        <v>Total: 24</v>
      </c>
      <c r="B44" s="12"/>
      <c r="C44" s="12"/>
      <c r="D44" s="12"/>
      <c r="E44" s="12">
        <f>sum(E20:E43)</f>
        <v>312</v>
      </c>
      <c r="F44" s="12">
        <f>SUM(F20:F43)</f>
        <v>520</v>
      </c>
      <c r="G44" s="12"/>
      <c r="H44" s="12">
        <f>sum(H20:H43)</f>
        <v>491000</v>
      </c>
      <c r="I44" s="24" t="s">
        <v>16</v>
      </c>
      <c r="J44" s="4"/>
      <c r="K44" s="18"/>
      <c r="L44" s="18"/>
      <c r="M44" s="14"/>
      <c r="N44" s="14"/>
      <c r="O44" s="14"/>
      <c r="P44" s="14"/>
      <c r="Q44" s="14"/>
    </row>
    <row r="45" ht="15.75" customHeight="1">
      <c r="F45" s="13"/>
      <c r="H45" s="25">
        <f>I45*0.925</f>
        <v>491207.375</v>
      </c>
      <c r="I45" s="26">
        <f>(H2-H4-H7)</f>
        <v>531035</v>
      </c>
      <c r="J45" s="4"/>
      <c r="K45" s="18"/>
      <c r="L45" s="18"/>
      <c r="M45" s="14"/>
      <c r="N45" s="14"/>
      <c r="O45" s="14"/>
      <c r="P45" s="14"/>
      <c r="Q45" s="14"/>
    </row>
    <row r="46" ht="15.75" customHeight="1">
      <c r="G46" s="53" t="s">
        <v>36</v>
      </c>
      <c r="H46" s="54">
        <f>H45-H44</f>
        <v>207.375</v>
      </c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27"/>
      <c r="B48" s="27"/>
      <c r="C48" s="27"/>
      <c r="D48" s="84" t="s">
        <v>54</v>
      </c>
      <c r="E48" s="28" t="s">
        <v>18</v>
      </c>
      <c r="F48" s="28" t="s">
        <v>19</v>
      </c>
      <c r="G48" s="85" t="s">
        <v>55</v>
      </c>
      <c r="H48" s="30" t="s">
        <v>20</v>
      </c>
      <c r="J48" s="4"/>
      <c r="K48" s="4"/>
      <c r="L48" s="4"/>
    </row>
    <row r="49" ht="15.75" customHeight="1">
      <c r="A49" s="86" t="s">
        <v>32</v>
      </c>
      <c r="B49" s="87"/>
      <c r="C49" s="87"/>
      <c r="D49" s="87">
        <f>H4/2</f>
        <v>224482.5</v>
      </c>
      <c r="E49" s="87">
        <f>SUM(E20:E31)</f>
        <v>162</v>
      </c>
      <c r="F49" s="88">
        <f>sum(F20:F31)</f>
        <v>270</v>
      </c>
      <c r="G49" s="87">
        <f>SUM(H20:H31)</f>
        <v>216000</v>
      </c>
      <c r="H49" s="89">
        <f t="shared" ref="H49:H50" si="12">(G49+D49)/F49</f>
        <v>1631.416667</v>
      </c>
      <c r="I49" s="4"/>
      <c r="J49" s="4"/>
      <c r="K49" s="4"/>
      <c r="L49" s="4"/>
    </row>
    <row r="50" ht="15.75" customHeight="1">
      <c r="A50" s="90" t="s">
        <v>38</v>
      </c>
      <c r="B50" s="91"/>
      <c r="C50" s="91"/>
      <c r="D50" s="92">
        <f>H4/2</f>
        <v>224482.5</v>
      </c>
      <c r="E50" s="92">
        <f>SUM(E32:E43)</f>
        <v>150</v>
      </c>
      <c r="F50" s="92">
        <f>sum(F32:F43)</f>
        <v>250</v>
      </c>
      <c r="G50" s="92">
        <f>SUM(H32:H43)</f>
        <v>275000</v>
      </c>
      <c r="H50" s="93">
        <f t="shared" si="12"/>
        <v>1997.93</v>
      </c>
      <c r="I50" s="4"/>
      <c r="J50" s="4"/>
      <c r="K50" s="4"/>
      <c r="L50" s="4"/>
    </row>
    <row r="51" ht="15.75" customHeight="1">
      <c r="A51" s="27" t="s">
        <v>17</v>
      </c>
      <c r="B51" s="27"/>
      <c r="C51" s="27"/>
      <c r="D51" s="27"/>
      <c r="E51" s="27"/>
      <c r="F51" s="28"/>
      <c r="G51" s="28"/>
      <c r="H51" s="29"/>
      <c r="J51" s="4"/>
      <c r="K51" s="4"/>
      <c r="L51" s="4"/>
    </row>
    <row r="52" ht="15.75" customHeight="1">
      <c r="A52" s="27"/>
      <c r="B52" s="27"/>
      <c r="C52" s="27"/>
      <c r="D52" s="27"/>
      <c r="E52" s="28" t="s">
        <v>18</v>
      </c>
      <c r="F52" s="28" t="s">
        <v>19</v>
      </c>
      <c r="G52" s="28"/>
      <c r="H52" s="30" t="s">
        <v>20</v>
      </c>
      <c r="J52" s="4"/>
      <c r="K52" s="4"/>
      <c r="L52" s="4"/>
    </row>
    <row r="53" ht="15.75" customHeight="1">
      <c r="A53" s="27"/>
      <c r="B53" s="27"/>
      <c r="C53" s="27"/>
      <c r="D53" s="27"/>
      <c r="E53" s="27">
        <f>(E15+E44)*1000</f>
        <v>2692000</v>
      </c>
      <c r="F53" s="30">
        <f>(F15+F44)*1000</f>
        <v>10040000</v>
      </c>
      <c r="G53" s="28"/>
      <c r="H53" s="94">
        <f>(H2/F53)*1000</f>
        <v>119.5219124</v>
      </c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5"/>
      <c r="B56" s="4"/>
      <c r="C56" s="4"/>
      <c r="D56" s="4"/>
      <c r="E56" s="5"/>
      <c r="F56" s="5"/>
      <c r="G56" s="5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34" t="s">
        <v>21</v>
      </c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35">
        <v>2000000.0</v>
      </c>
      <c r="I2" s="4"/>
      <c r="J2" s="4">
        <f>H4+H15+I51</f>
        <v>2000000</v>
      </c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J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57">
        <v>595980.0</v>
      </c>
      <c r="I4" s="16">
        <f>H2*0.3</f>
        <v>600000</v>
      </c>
    </row>
    <row r="5" ht="15.75" customHeight="1">
      <c r="A5" s="9" t="s">
        <v>4</v>
      </c>
      <c r="B5" s="8"/>
      <c r="C5" s="8"/>
      <c r="D5" s="8"/>
      <c r="E5" s="8"/>
      <c r="F5" s="8"/>
      <c r="G5" s="8"/>
      <c r="H5" s="10">
        <f>H4/H2</f>
        <v>0.29799</v>
      </c>
    </row>
    <row r="6" ht="15.75" customHeight="1">
      <c r="H6" s="11"/>
    </row>
    <row r="7" ht="15.75" customHeight="1">
      <c r="A7" s="36" t="s">
        <v>22</v>
      </c>
      <c r="B7" s="36"/>
      <c r="C7" s="36"/>
      <c r="D7" s="36"/>
      <c r="E7" s="36"/>
      <c r="F7" s="36"/>
      <c r="G7" s="36"/>
      <c r="H7" s="110">
        <v>400000.0</v>
      </c>
    </row>
    <row r="8" ht="15.75" customHeight="1">
      <c r="A8" s="37" t="s">
        <v>4</v>
      </c>
      <c r="B8" s="36"/>
      <c r="C8" s="36"/>
      <c r="D8" s="36"/>
      <c r="E8" s="36"/>
      <c r="F8" s="36"/>
      <c r="G8" s="36"/>
      <c r="H8" s="38">
        <f>H7/H2</f>
        <v>0.2</v>
      </c>
    </row>
    <row r="9" ht="15.75" customHeight="1">
      <c r="A9" s="36"/>
      <c r="B9" s="39" t="s">
        <v>23</v>
      </c>
      <c r="C9" s="39" t="s">
        <v>24</v>
      </c>
      <c r="D9" s="39" t="s">
        <v>25</v>
      </c>
      <c r="E9" s="39" t="s">
        <v>18</v>
      </c>
      <c r="F9" s="39" t="s">
        <v>19</v>
      </c>
      <c r="G9" s="39" t="s">
        <v>26</v>
      </c>
      <c r="H9" s="36"/>
      <c r="K9" s="14"/>
      <c r="L9" s="14"/>
      <c r="M9" s="14"/>
      <c r="N9" s="14"/>
      <c r="O9" s="14"/>
      <c r="P9" s="14"/>
      <c r="Q9" s="14"/>
    </row>
    <row r="10" ht="15.75" customHeight="1">
      <c r="A10" s="16" t="s">
        <v>27</v>
      </c>
      <c r="B10" s="50">
        <v>20.0</v>
      </c>
      <c r="C10" s="16">
        <v>2000.0</v>
      </c>
      <c r="D10" s="17"/>
      <c r="E10" s="17"/>
      <c r="F10" s="17"/>
      <c r="G10" s="17"/>
      <c r="H10" s="17">
        <f>B10*C10</f>
        <v>40000</v>
      </c>
      <c r="K10" s="14"/>
      <c r="L10" s="14"/>
      <c r="M10" s="14"/>
      <c r="N10" s="14"/>
      <c r="O10" s="14"/>
      <c r="P10" s="14"/>
      <c r="Q10" s="14"/>
    </row>
    <row r="11" ht="15.75" customHeight="1">
      <c r="A11" s="58" t="s">
        <v>40</v>
      </c>
      <c r="B11" s="59"/>
      <c r="C11" s="59"/>
      <c r="D11" s="60" t="s">
        <v>29</v>
      </c>
      <c r="E11" s="61">
        <f t="shared" ref="E11:E15" si="1">F11*0.25</f>
        <v>956250</v>
      </c>
      <c r="F11" s="61">
        <f t="shared" ref="F11:F12" si="2">sum(1000*H11)/G11*0.85</f>
        <v>3825000</v>
      </c>
      <c r="G11" s="62">
        <v>20.0</v>
      </c>
      <c r="H11" s="63">
        <v>90000.0</v>
      </c>
      <c r="K11" s="49" t="s">
        <v>20</v>
      </c>
      <c r="L11" s="49" t="s">
        <v>33</v>
      </c>
      <c r="M11" s="49" t="s">
        <v>34</v>
      </c>
      <c r="N11" s="14"/>
      <c r="O11" s="14"/>
      <c r="P11" s="14"/>
      <c r="Q11" s="14"/>
    </row>
    <row r="12" ht="15.75" customHeight="1">
      <c r="A12" s="58" t="s">
        <v>41</v>
      </c>
      <c r="B12" s="59"/>
      <c r="C12" s="59"/>
      <c r="D12" s="60" t="s">
        <v>29</v>
      </c>
      <c r="E12" s="61">
        <f t="shared" si="1"/>
        <v>1275000</v>
      </c>
      <c r="F12" s="61">
        <f t="shared" si="2"/>
        <v>5100000</v>
      </c>
      <c r="G12" s="62">
        <v>15.0</v>
      </c>
      <c r="H12" s="63">
        <v>90000.0</v>
      </c>
      <c r="K12" s="49"/>
      <c r="L12" s="49"/>
      <c r="M12" s="49"/>
      <c r="N12" s="14"/>
      <c r="O12" s="14"/>
      <c r="P12" s="14"/>
      <c r="Q12" s="14"/>
    </row>
    <row r="13" ht="15.75" customHeight="1">
      <c r="A13" s="64" t="s">
        <v>42</v>
      </c>
      <c r="B13" s="65"/>
      <c r="C13" s="65"/>
      <c r="D13" s="66" t="s">
        <v>29</v>
      </c>
      <c r="E13" s="67">
        <f t="shared" si="1"/>
        <v>956250</v>
      </c>
      <c r="F13" s="67">
        <f>sum(1000*H13)/G13*0.85</f>
        <v>3825000</v>
      </c>
      <c r="G13" s="68">
        <v>20.0</v>
      </c>
      <c r="H13" s="69">
        <v>90000.0</v>
      </c>
      <c r="I13" s="19"/>
      <c r="K13" s="49"/>
      <c r="L13" s="13"/>
      <c r="M13" s="52"/>
      <c r="N13" s="70"/>
      <c r="O13" s="14"/>
      <c r="P13" s="14"/>
      <c r="Q13" s="14"/>
    </row>
    <row r="14" ht="15.75" customHeight="1">
      <c r="A14" s="71" t="s">
        <v>43</v>
      </c>
      <c r="B14" s="72"/>
      <c r="C14" s="72"/>
      <c r="D14" s="73" t="s">
        <v>29</v>
      </c>
      <c r="E14" s="67">
        <f t="shared" si="1"/>
        <v>1275000</v>
      </c>
      <c r="F14" s="67">
        <f>sum(1000*H14)/G14*0.85</f>
        <v>5100000</v>
      </c>
      <c r="G14" s="68">
        <v>15.0</v>
      </c>
      <c r="H14" s="69">
        <v>90000.0</v>
      </c>
      <c r="I14" s="19"/>
      <c r="K14" s="49" t="s">
        <v>32</v>
      </c>
      <c r="L14" s="13">
        <f>(89*11)*0.7</f>
        <v>685.3</v>
      </c>
      <c r="M14" s="52">
        <f>(118*11)*0.7</f>
        <v>908.6</v>
      </c>
      <c r="N14" s="70" t="s">
        <v>44</v>
      </c>
      <c r="O14" s="14"/>
      <c r="P14" s="14"/>
      <c r="Q14" s="14"/>
    </row>
    <row r="15" ht="15.75" customHeight="1">
      <c r="A15" s="36" t="s">
        <v>15</v>
      </c>
      <c r="B15" s="36"/>
      <c r="C15" s="36"/>
      <c r="D15" s="36"/>
      <c r="E15" s="41">
        <f t="shared" si="1"/>
        <v>4462.5</v>
      </c>
      <c r="F15" s="42">
        <f>sum(F10:F14)/1000</f>
        <v>17850</v>
      </c>
      <c r="G15" s="43"/>
      <c r="H15" s="44">
        <f>sum(H10:H14)</f>
        <v>400000</v>
      </c>
      <c r="I15" s="18"/>
      <c r="K15" s="74" t="s">
        <v>38</v>
      </c>
      <c r="L15" s="75">
        <f t="shared" ref="L15:M15" si="3">L14*2</f>
        <v>1370.6</v>
      </c>
      <c r="M15" s="76">
        <f t="shared" si="3"/>
        <v>1817.2</v>
      </c>
      <c r="N15" s="77" t="s">
        <v>45</v>
      </c>
      <c r="O15" s="14"/>
      <c r="P15" s="14"/>
      <c r="Q15" s="14"/>
    </row>
    <row r="16" ht="15.75" customHeight="1">
      <c r="A16" s="39" t="s">
        <v>4</v>
      </c>
      <c r="B16" s="36"/>
      <c r="C16" s="36"/>
      <c r="D16" s="36"/>
      <c r="E16" s="45"/>
      <c r="F16" s="46"/>
      <c r="G16" s="43"/>
      <c r="H16" s="47">
        <f>H15/H2</f>
        <v>0.2</v>
      </c>
      <c r="I16" s="18"/>
      <c r="K16" s="78" t="s">
        <v>46</v>
      </c>
      <c r="L16" s="78">
        <f>70*9.5</f>
        <v>665</v>
      </c>
      <c r="M16" s="78">
        <f>80*9.5</f>
        <v>760</v>
      </c>
      <c r="N16" s="78" t="s">
        <v>47</v>
      </c>
      <c r="O16" s="14"/>
      <c r="P16" s="14"/>
      <c r="Q16" s="14"/>
    </row>
    <row r="17" ht="15.75" customHeight="1">
      <c r="I17" s="14"/>
      <c r="K17" s="14"/>
      <c r="L17" s="14"/>
      <c r="M17" s="14"/>
      <c r="N17" s="14"/>
      <c r="O17" s="14"/>
      <c r="P17" s="14"/>
      <c r="Q17" s="14"/>
    </row>
    <row r="18" ht="15.75" customHeight="1">
      <c r="A18" s="48" t="s">
        <v>31</v>
      </c>
      <c r="B18" s="12"/>
      <c r="C18" s="12"/>
      <c r="D18" s="12"/>
      <c r="E18" s="12"/>
      <c r="F18" s="12"/>
      <c r="G18" s="12"/>
      <c r="H18" s="12"/>
      <c r="I18" s="13"/>
      <c r="K18" s="14"/>
      <c r="L18" s="14"/>
      <c r="M18" s="14"/>
      <c r="N18" s="14"/>
      <c r="O18" s="14"/>
      <c r="P18" s="14"/>
      <c r="Q18" s="14"/>
    </row>
    <row r="19" ht="15.75" customHeight="1">
      <c r="A19" s="15" t="s">
        <v>6</v>
      </c>
      <c r="B19" s="15" t="s">
        <v>7</v>
      </c>
      <c r="C19" s="15" t="s">
        <v>8</v>
      </c>
      <c r="D19" s="15" t="s">
        <v>9</v>
      </c>
      <c r="E19" s="15" t="s">
        <v>18</v>
      </c>
      <c r="F19" s="15" t="s">
        <v>11</v>
      </c>
      <c r="G19" s="15" t="s">
        <v>12</v>
      </c>
      <c r="H19" s="80" t="s">
        <v>49</v>
      </c>
      <c r="I19" s="13"/>
      <c r="N19" s="14"/>
      <c r="O19" s="14"/>
      <c r="P19" s="14"/>
      <c r="Q19" s="14"/>
    </row>
    <row r="20" ht="15.75" customHeight="1">
      <c r="A20" s="58" t="s">
        <v>50</v>
      </c>
      <c r="B20" s="58">
        <v>35.0</v>
      </c>
      <c r="C20" s="58">
        <v>1.0</v>
      </c>
      <c r="D20" s="81" t="s">
        <v>35</v>
      </c>
      <c r="E20" s="59">
        <f t="shared" ref="E20:E49" si="4">F20*0.6</f>
        <v>18</v>
      </c>
      <c r="F20" s="60">
        <f t="shared" ref="F20:F25" si="5">MROUND(B20*0.8,5)</f>
        <v>30</v>
      </c>
      <c r="G20" s="82">
        <v>800.0</v>
      </c>
      <c r="H20" s="59">
        <f t="shared" ref="H20:H49" si="6">F20*G20*C20</f>
        <v>24000</v>
      </c>
      <c r="N20" s="21"/>
      <c r="O20" s="19"/>
      <c r="P20" s="19"/>
      <c r="Q20" s="14"/>
    </row>
    <row r="21" ht="15.75" customHeight="1">
      <c r="A21" s="58" t="s">
        <v>50</v>
      </c>
      <c r="B21" s="58">
        <v>35.0</v>
      </c>
      <c r="C21" s="58">
        <v>1.0</v>
      </c>
      <c r="D21" s="81" t="s">
        <v>35</v>
      </c>
      <c r="E21" s="59">
        <f t="shared" si="4"/>
        <v>18</v>
      </c>
      <c r="F21" s="60">
        <f t="shared" si="5"/>
        <v>30</v>
      </c>
      <c r="G21" s="82">
        <v>800.0</v>
      </c>
      <c r="H21" s="59">
        <f t="shared" si="6"/>
        <v>24000</v>
      </c>
      <c r="K21" s="14"/>
      <c r="L21" s="20"/>
      <c r="M21" s="20"/>
      <c r="N21" s="21"/>
      <c r="O21" s="19"/>
      <c r="P21" s="19"/>
      <c r="Q21" s="14"/>
    </row>
    <row r="22" ht="15.75" customHeight="1">
      <c r="A22" s="58" t="s">
        <v>50</v>
      </c>
      <c r="B22" s="58">
        <v>35.0</v>
      </c>
      <c r="C22" s="58">
        <v>1.0</v>
      </c>
      <c r="D22" s="81" t="s">
        <v>35</v>
      </c>
      <c r="E22" s="59">
        <f t="shared" si="4"/>
        <v>18</v>
      </c>
      <c r="F22" s="60">
        <f t="shared" si="5"/>
        <v>30</v>
      </c>
      <c r="G22" s="82">
        <v>800.0</v>
      </c>
      <c r="H22" s="59">
        <f t="shared" si="6"/>
        <v>24000</v>
      </c>
      <c r="N22" s="6"/>
      <c r="O22" s="19"/>
      <c r="P22" s="18"/>
      <c r="Q22" s="14"/>
    </row>
    <row r="23" ht="15.75" customHeight="1">
      <c r="A23" s="58" t="s">
        <v>50</v>
      </c>
      <c r="B23" s="58">
        <v>35.0</v>
      </c>
      <c r="C23" s="58">
        <v>1.0</v>
      </c>
      <c r="D23" s="81" t="s">
        <v>35</v>
      </c>
      <c r="E23" s="59">
        <f t="shared" si="4"/>
        <v>18</v>
      </c>
      <c r="F23" s="60">
        <f t="shared" si="5"/>
        <v>30</v>
      </c>
      <c r="G23" s="82">
        <v>800.0</v>
      </c>
      <c r="H23" s="59">
        <f t="shared" si="6"/>
        <v>24000</v>
      </c>
      <c r="N23" s="21"/>
      <c r="O23" s="19"/>
      <c r="P23" s="19"/>
      <c r="Q23" s="14"/>
    </row>
    <row r="24" ht="15.75" customHeight="1">
      <c r="A24" s="58" t="s">
        <v>50</v>
      </c>
      <c r="B24" s="58">
        <v>35.0</v>
      </c>
      <c r="C24" s="58">
        <v>1.0</v>
      </c>
      <c r="D24" s="81" t="s">
        <v>35</v>
      </c>
      <c r="E24" s="59">
        <f t="shared" si="4"/>
        <v>18</v>
      </c>
      <c r="F24" s="60">
        <f t="shared" si="5"/>
        <v>30</v>
      </c>
      <c r="G24" s="82">
        <v>800.0</v>
      </c>
      <c r="H24" s="59">
        <f t="shared" si="6"/>
        <v>24000</v>
      </c>
      <c r="K24" s="14"/>
      <c r="L24" s="20"/>
      <c r="M24" s="20"/>
      <c r="N24" s="21"/>
      <c r="O24" s="19"/>
      <c r="P24" s="19"/>
      <c r="Q24" s="14"/>
    </row>
    <row r="25" ht="15.75" customHeight="1">
      <c r="A25" s="58" t="s">
        <v>50</v>
      </c>
      <c r="B25" s="58">
        <v>75.0</v>
      </c>
      <c r="C25" s="58">
        <v>1.0</v>
      </c>
      <c r="D25" s="81" t="s">
        <v>35</v>
      </c>
      <c r="E25" s="59">
        <f t="shared" si="4"/>
        <v>36</v>
      </c>
      <c r="F25" s="60">
        <f t="shared" si="5"/>
        <v>60</v>
      </c>
      <c r="G25" s="111">
        <v>685.3</v>
      </c>
      <c r="H25" s="59">
        <f t="shared" si="6"/>
        <v>41118</v>
      </c>
      <c r="N25" s="6"/>
      <c r="O25" s="19"/>
      <c r="P25" s="18"/>
      <c r="Q25" s="14"/>
    </row>
    <row r="26" ht="15.75" customHeight="1">
      <c r="A26" s="96" t="s">
        <v>51</v>
      </c>
      <c r="B26" s="97">
        <v>35.0</v>
      </c>
      <c r="C26" s="98">
        <v>1.0</v>
      </c>
      <c r="D26" s="99" t="s">
        <v>35</v>
      </c>
      <c r="E26" s="100">
        <f t="shared" si="4"/>
        <v>15</v>
      </c>
      <c r="F26" s="101">
        <f t="shared" ref="F26:F28" si="7">MROUND(B26*0.7,5)</f>
        <v>25</v>
      </c>
      <c r="G26" s="102">
        <v>800.0</v>
      </c>
      <c r="H26" s="100">
        <f t="shared" si="6"/>
        <v>20000</v>
      </c>
      <c r="I26" s="103"/>
      <c r="J26" s="103"/>
      <c r="K26" s="18"/>
      <c r="L26" s="22"/>
      <c r="M26" s="22"/>
      <c r="N26" s="6"/>
      <c r="O26" s="18"/>
      <c r="P26" s="18"/>
      <c r="Q26" s="18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</row>
    <row r="27" ht="15.75" customHeight="1">
      <c r="A27" s="96" t="s">
        <v>51</v>
      </c>
      <c r="B27" s="97">
        <v>35.0</v>
      </c>
      <c r="C27" s="98">
        <v>1.0</v>
      </c>
      <c r="D27" s="99" t="s">
        <v>35</v>
      </c>
      <c r="E27" s="100">
        <f t="shared" si="4"/>
        <v>15</v>
      </c>
      <c r="F27" s="101">
        <f t="shared" si="7"/>
        <v>25</v>
      </c>
      <c r="G27" s="102">
        <v>800.0</v>
      </c>
      <c r="H27" s="100">
        <f t="shared" si="6"/>
        <v>20000</v>
      </c>
      <c r="I27" s="103"/>
      <c r="J27" s="103"/>
      <c r="K27" s="18"/>
      <c r="L27" s="22"/>
      <c r="M27" s="22"/>
      <c r="N27" s="6"/>
      <c r="O27" s="18"/>
      <c r="P27" s="18"/>
      <c r="Q27" s="18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</row>
    <row r="28" ht="15.75" customHeight="1">
      <c r="A28" s="96" t="s">
        <v>51</v>
      </c>
      <c r="B28" s="98">
        <v>35.0</v>
      </c>
      <c r="C28" s="98">
        <v>1.0</v>
      </c>
      <c r="D28" s="99" t="s">
        <v>35</v>
      </c>
      <c r="E28" s="100">
        <f t="shared" si="4"/>
        <v>15</v>
      </c>
      <c r="F28" s="101">
        <f t="shared" si="7"/>
        <v>25</v>
      </c>
      <c r="G28" s="102">
        <v>800.0</v>
      </c>
      <c r="H28" s="100">
        <f t="shared" si="6"/>
        <v>20000</v>
      </c>
      <c r="I28" s="103"/>
      <c r="J28" s="103"/>
      <c r="K28" s="18"/>
      <c r="L28" s="22"/>
      <c r="M28" s="22"/>
      <c r="N28" s="6"/>
      <c r="O28" s="18"/>
      <c r="P28" s="18"/>
      <c r="Q28" s="18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</row>
    <row r="29" ht="15.75" customHeight="1">
      <c r="A29" s="58" t="s">
        <v>51</v>
      </c>
      <c r="B29" s="58">
        <v>35.0</v>
      </c>
      <c r="C29" s="58">
        <v>1.0</v>
      </c>
      <c r="D29" s="81" t="s">
        <v>35</v>
      </c>
      <c r="E29" s="59">
        <f t="shared" si="4"/>
        <v>15</v>
      </c>
      <c r="F29" s="60">
        <f t="shared" ref="F29:F34" si="8">MROUND(B29*0.7,5)</f>
        <v>25</v>
      </c>
      <c r="G29" s="82">
        <v>800.0</v>
      </c>
      <c r="H29" s="59">
        <f t="shared" si="6"/>
        <v>20000</v>
      </c>
      <c r="K29" s="14"/>
      <c r="L29" s="20"/>
      <c r="M29" s="20"/>
      <c r="N29" s="21"/>
      <c r="O29" s="19"/>
      <c r="P29" s="19"/>
      <c r="Q29" s="14"/>
    </row>
    <row r="30" ht="15.75" customHeight="1">
      <c r="A30" s="58" t="s">
        <v>51</v>
      </c>
      <c r="B30" s="58">
        <v>35.0</v>
      </c>
      <c r="C30" s="58">
        <v>1.0</v>
      </c>
      <c r="D30" s="81" t="s">
        <v>35</v>
      </c>
      <c r="E30" s="59">
        <f t="shared" si="4"/>
        <v>15</v>
      </c>
      <c r="F30" s="60">
        <f t="shared" si="8"/>
        <v>25</v>
      </c>
      <c r="G30" s="82">
        <v>800.0</v>
      </c>
      <c r="H30" s="59">
        <f t="shared" si="6"/>
        <v>20000</v>
      </c>
      <c r="K30" s="14"/>
      <c r="L30" s="20"/>
      <c r="M30" s="20"/>
      <c r="N30" s="21"/>
      <c r="O30" s="19"/>
      <c r="P30" s="19"/>
      <c r="Q30" s="14"/>
    </row>
    <row r="31" ht="15.75" customHeight="1">
      <c r="A31" s="58" t="s">
        <v>51</v>
      </c>
      <c r="B31" s="58">
        <v>35.0</v>
      </c>
      <c r="C31" s="58">
        <v>1.0</v>
      </c>
      <c r="D31" s="81" t="s">
        <v>35</v>
      </c>
      <c r="E31" s="59">
        <f t="shared" si="4"/>
        <v>15</v>
      </c>
      <c r="F31" s="60">
        <f t="shared" si="8"/>
        <v>25</v>
      </c>
      <c r="G31" s="82">
        <v>800.0</v>
      </c>
      <c r="H31" s="59">
        <f t="shared" si="6"/>
        <v>20000</v>
      </c>
      <c r="K31" s="14"/>
      <c r="L31" s="22"/>
      <c r="M31" s="20"/>
      <c r="N31" s="6"/>
      <c r="O31" s="19"/>
      <c r="P31" s="18"/>
      <c r="Q31" s="14"/>
    </row>
    <row r="32" ht="15.75" customHeight="1">
      <c r="A32" s="58" t="s">
        <v>51</v>
      </c>
      <c r="B32" s="58">
        <v>35.0</v>
      </c>
      <c r="C32" s="58">
        <v>1.0</v>
      </c>
      <c r="D32" s="81" t="s">
        <v>35</v>
      </c>
      <c r="E32" s="59">
        <f t="shared" si="4"/>
        <v>15</v>
      </c>
      <c r="F32" s="60">
        <f t="shared" si="8"/>
        <v>25</v>
      </c>
      <c r="G32" s="82">
        <v>800.0</v>
      </c>
      <c r="H32" s="59">
        <f t="shared" si="6"/>
        <v>20000</v>
      </c>
      <c r="K32" s="14"/>
      <c r="L32" s="20"/>
      <c r="M32" s="20"/>
      <c r="N32" s="21"/>
      <c r="O32" s="19"/>
      <c r="P32" s="19"/>
      <c r="Q32" s="14"/>
    </row>
    <row r="33" ht="15.75" customHeight="1">
      <c r="A33" s="58" t="s">
        <v>51</v>
      </c>
      <c r="B33" s="58">
        <v>35.0</v>
      </c>
      <c r="C33" s="58">
        <v>1.0</v>
      </c>
      <c r="D33" s="81" t="s">
        <v>35</v>
      </c>
      <c r="E33" s="59">
        <f t="shared" si="4"/>
        <v>15</v>
      </c>
      <c r="F33" s="60">
        <f t="shared" si="8"/>
        <v>25</v>
      </c>
      <c r="G33" s="82">
        <v>800.0</v>
      </c>
      <c r="H33" s="59">
        <f t="shared" si="6"/>
        <v>20000</v>
      </c>
      <c r="K33" s="14"/>
      <c r="L33" s="20"/>
      <c r="M33" s="20"/>
      <c r="N33" s="21"/>
      <c r="O33" s="19"/>
      <c r="P33" s="19"/>
      <c r="Q33" s="14"/>
    </row>
    <row r="34" ht="15.75" customHeight="1">
      <c r="A34" s="58" t="s">
        <v>51</v>
      </c>
      <c r="B34" s="58">
        <v>125.0</v>
      </c>
      <c r="C34" s="58">
        <v>1.0</v>
      </c>
      <c r="D34" s="81" t="s">
        <v>35</v>
      </c>
      <c r="E34" s="59">
        <f t="shared" si="4"/>
        <v>54</v>
      </c>
      <c r="F34" s="60">
        <f t="shared" si="8"/>
        <v>90</v>
      </c>
      <c r="G34" s="82">
        <v>800.0</v>
      </c>
      <c r="H34" s="59">
        <f t="shared" si="6"/>
        <v>72000</v>
      </c>
      <c r="K34" s="14"/>
      <c r="L34" s="22"/>
      <c r="M34" s="20"/>
      <c r="N34" s="6"/>
      <c r="O34" s="19"/>
      <c r="P34" s="18"/>
      <c r="Q34" s="14"/>
    </row>
    <row r="35" ht="15.75" customHeight="1">
      <c r="A35" s="104" t="s">
        <v>52</v>
      </c>
      <c r="B35" s="105">
        <v>35.0</v>
      </c>
      <c r="C35" s="106">
        <v>1.0</v>
      </c>
      <c r="D35" s="107" t="s">
        <v>35</v>
      </c>
      <c r="E35" s="108">
        <f t="shared" si="4"/>
        <v>18</v>
      </c>
      <c r="F35" s="109">
        <f t="shared" ref="F35:F43" si="9">MROUND(B35*0.8,5)</f>
        <v>30</v>
      </c>
      <c r="G35" s="106">
        <v>1100.0</v>
      </c>
      <c r="H35" s="108">
        <f t="shared" si="6"/>
        <v>33000</v>
      </c>
      <c r="I35" s="103"/>
      <c r="J35" s="103"/>
      <c r="K35" s="103"/>
      <c r="L35" s="103"/>
      <c r="M35" s="103"/>
      <c r="N35" s="6"/>
      <c r="O35" s="18"/>
      <c r="P35" s="18"/>
      <c r="Q35" s="18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</row>
    <row r="36" ht="15.75" customHeight="1">
      <c r="A36" s="104" t="s">
        <v>52</v>
      </c>
      <c r="B36" s="105">
        <v>35.0</v>
      </c>
      <c r="C36" s="106">
        <v>1.0</v>
      </c>
      <c r="D36" s="107" t="s">
        <v>35</v>
      </c>
      <c r="E36" s="108">
        <f t="shared" si="4"/>
        <v>18</v>
      </c>
      <c r="F36" s="109">
        <f t="shared" si="9"/>
        <v>30</v>
      </c>
      <c r="G36" s="106">
        <v>1100.0</v>
      </c>
      <c r="H36" s="108">
        <f t="shared" si="6"/>
        <v>33000</v>
      </c>
      <c r="I36" s="103"/>
      <c r="J36" s="103"/>
      <c r="K36" s="112"/>
      <c r="L36" s="22"/>
      <c r="M36" s="22"/>
      <c r="N36" s="6"/>
      <c r="O36" s="18"/>
      <c r="P36" s="18"/>
      <c r="Q36" s="18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</row>
    <row r="37" ht="15.75" customHeight="1">
      <c r="A37" s="104" t="s">
        <v>52</v>
      </c>
      <c r="B37" s="105">
        <v>35.0</v>
      </c>
      <c r="C37" s="106">
        <v>1.0</v>
      </c>
      <c r="D37" s="107" t="s">
        <v>35</v>
      </c>
      <c r="E37" s="108">
        <f t="shared" si="4"/>
        <v>18</v>
      </c>
      <c r="F37" s="109">
        <f t="shared" si="9"/>
        <v>30</v>
      </c>
      <c r="G37" s="106">
        <v>1100.0</v>
      </c>
      <c r="H37" s="108">
        <f t="shared" si="6"/>
        <v>33000</v>
      </c>
      <c r="I37" s="103"/>
      <c r="J37" s="103"/>
      <c r="K37" s="112"/>
      <c r="L37" s="22"/>
      <c r="M37" s="22"/>
      <c r="N37" s="6"/>
      <c r="O37" s="18"/>
      <c r="P37" s="18"/>
      <c r="Q37" s="18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</row>
    <row r="38" ht="15.75" customHeight="1">
      <c r="A38" s="71" t="s">
        <v>52</v>
      </c>
      <c r="B38" s="71">
        <v>35.0</v>
      </c>
      <c r="C38" s="71">
        <v>1.0</v>
      </c>
      <c r="D38" s="83" t="s">
        <v>35</v>
      </c>
      <c r="E38" s="72">
        <f t="shared" si="4"/>
        <v>18</v>
      </c>
      <c r="F38" s="73">
        <f t="shared" si="9"/>
        <v>30</v>
      </c>
      <c r="G38" s="71">
        <v>1100.0</v>
      </c>
      <c r="H38" s="72">
        <f t="shared" si="6"/>
        <v>33000</v>
      </c>
      <c r="N38" s="6"/>
      <c r="O38" s="19"/>
      <c r="P38" s="18"/>
      <c r="Q38" s="14"/>
    </row>
    <row r="39" ht="15.75" customHeight="1">
      <c r="A39" s="71" t="s">
        <v>52</v>
      </c>
      <c r="B39" s="71">
        <v>35.0</v>
      </c>
      <c r="C39" s="71">
        <v>1.0</v>
      </c>
      <c r="D39" s="83" t="s">
        <v>35</v>
      </c>
      <c r="E39" s="72">
        <f t="shared" si="4"/>
        <v>18</v>
      </c>
      <c r="F39" s="73">
        <f t="shared" si="9"/>
        <v>30</v>
      </c>
      <c r="G39" s="71">
        <v>1100.0</v>
      </c>
      <c r="H39" s="72">
        <f t="shared" si="6"/>
        <v>33000</v>
      </c>
      <c r="K39" s="14"/>
      <c r="L39" s="20"/>
      <c r="M39" s="20"/>
      <c r="N39" s="21"/>
      <c r="O39" s="19"/>
      <c r="P39" s="19"/>
      <c r="Q39" s="14"/>
    </row>
    <row r="40" ht="15.75" customHeight="1">
      <c r="A40" s="71" t="s">
        <v>52</v>
      </c>
      <c r="B40" s="71">
        <v>35.0</v>
      </c>
      <c r="C40" s="71">
        <v>1.0</v>
      </c>
      <c r="D40" s="83" t="s">
        <v>35</v>
      </c>
      <c r="E40" s="72">
        <f t="shared" si="4"/>
        <v>18</v>
      </c>
      <c r="F40" s="73">
        <f t="shared" si="9"/>
        <v>30</v>
      </c>
      <c r="G40" s="71">
        <v>1100.0</v>
      </c>
      <c r="H40" s="72">
        <f t="shared" si="6"/>
        <v>33000</v>
      </c>
      <c r="K40" s="14"/>
      <c r="L40" s="20"/>
      <c r="M40" s="20"/>
      <c r="N40" s="21"/>
      <c r="O40" s="19"/>
      <c r="P40" s="19"/>
      <c r="Q40" s="14"/>
    </row>
    <row r="41" ht="15.75" customHeight="1">
      <c r="A41" s="71" t="s">
        <v>52</v>
      </c>
      <c r="B41" s="71">
        <v>35.0</v>
      </c>
      <c r="C41" s="71">
        <v>1.0</v>
      </c>
      <c r="D41" s="83" t="s">
        <v>35</v>
      </c>
      <c r="E41" s="72">
        <f t="shared" si="4"/>
        <v>18</v>
      </c>
      <c r="F41" s="73">
        <f t="shared" si="9"/>
        <v>30</v>
      </c>
      <c r="G41" s="71">
        <v>1100.0</v>
      </c>
      <c r="H41" s="72">
        <f t="shared" si="6"/>
        <v>33000</v>
      </c>
      <c r="N41" s="6"/>
      <c r="O41" s="19"/>
      <c r="P41" s="18"/>
      <c r="Q41" s="14"/>
    </row>
    <row r="42" ht="15.75" customHeight="1">
      <c r="A42" s="71" t="s">
        <v>52</v>
      </c>
      <c r="B42" s="71">
        <v>75.0</v>
      </c>
      <c r="C42" s="71">
        <v>1.0</v>
      </c>
      <c r="D42" s="83" t="s">
        <v>35</v>
      </c>
      <c r="E42" s="72">
        <f t="shared" si="4"/>
        <v>36</v>
      </c>
      <c r="F42" s="73">
        <f t="shared" si="9"/>
        <v>60</v>
      </c>
      <c r="G42" s="71">
        <v>1100.0</v>
      </c>
      <c r="H42" s="72">
        <f t="shared" si="6"/>
        <v>66000</v>
      </c>
      <c r="K42" s="14"/>
      <c r="L42" s="20"/>
      <c r="M42" s="20"/>
      <c r="N42" s="21"/>
      <c r="O42" s="19"/>
      <c r="P42" s="19"/>
      <c r="Q42" s="14"/>
    </row>
    <row r="43" ht="15.75" customHeight="1">
      <c r="A43" s="71" t="s">
        <v>52</v>
      </c>
      <c r="B43" s="71">
        <v>125.0</v>
      </c>
      <c r="C43" s="71">
        <v>1.0</v>
      </c>
      <c r="D43" s="83" t="s">
        <v>35</v>
      </c>
      <c r="E43" s="72">
        <f t="shared" si="4"/>
        <v>60</v>
      </c>
      <c r="F43" s="73">
        <f t="shared" si="9"/>
        <v>100</v>
      </c>
      <c r="G43" s="71">
        <v>1100.0</v>
      </c>
      <c r="H43" s="72">
        <f t="shared" si="6"/>
        <v>110000</v>
      </c>
      <c r="K43" s="14"/>
      <c r="L43" s="20"/>
      <c r="M43" s="20"/>
      <c r="N43" s="21"/>
      <c r="O43" s="19"/>
      <c r="P43" s="19"/>
      <c r="Q43" s="14"/>
    </row>
    <row r="44" ht="15.75" customHeight="1">
      <c r="A44" s="104" t="s">
        <v>53</v>
      </c>
      <c r="B44" s="105">
        <v>15.0</v>
      </c>
      <c r="C44" s="106">
        <v>1.0</v>
      </c>
      <c r="D44" s="107" t="s">
        <v>35</v>
      </c>
      <c r="E44" s="108">
        <f t="shared" si="4"/>
        <v>6</v>
      </c>
      <c r="F44" s="109">
        <f>MROUND(B44*0.7,5)</f>
        <v>10</v>
      </c>
      <c r="G44" s="106">
        <v>1100.0</v>
      </c>
      <c r="H44" s="108">
        <f t="shared" si="6"/>
        <v>11000</v>
      </c>
      <c r="I44" s="103"/>
      <c r="J44" s="103"/>
      <c r="K44" s="18"/>
      <c r="L44" s="22"/>
      <c r="M44" s="22"/>
      <c r="N44" s="6"/>
      <c r="O44" s="18"/>
      <c r="P44" s="18"/>
      <c r="Q44" s="18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</row>
    <row r="45" ht="16.5" customHeight="1">
      <c r="A45" s="71" t="s">
        <v>53</v>
      </c>
      <c r="B45" s="71">
        <v>15.0</v>
      </c>
      <c r="C45" s="71">
        <v>1.0</v>
      </c>
      <c r="D45" s="83" t="s">
        <v>35</v>
      </c>
      <c r="E45" s="72">
        <f t="shared" si="4"/>
        <v>6</v>
      </c>
      <c r="F45" s="73">
        <f>MROUND(B45*0.7,5)</f>
        <v>10</v>
      </c>
      <c r="G45" s="106">
        <v>1100.0</v>
      </c>
      <c r="H45" s="72">
        <f t="shared" si="6"/>
        <v>11000</v>
      </c>
      <c r="K45" s="14"/>
      <c r="L45" s="22"/>
      <c r="M45" s="20"/>
      <c r="N45" s="6"/>
      <c r="O45" s="19"/>
      <c r="P45" s="18"/>
      <c r="Q45" s="14"/>
    </row>
    <row r="46" ht="15.75" customHeight="1">
      <c r="A46" s="104" t="s">
        <v>53</v>
      </c>
      <c r="B46" s="105">
        <v>15.0</v>
      </c>
      <c r="C46" s="106">
        <v>1.0</v>
      </c>
      <c r="D46" s="107" t="s">
        <v>35</v>
      </c>
      <c r="E46" s="108">
        <f t="shared" si="4"/>
        <v>6</v>
      </c>
      <c r="F46" s="109">
        <f t="shared" ref="F46:F47" si="10">MROUND(B46*0.7,5)</f>
        <v>10</v>
      </c>
      <c r="G46" s="106">
        <v>1100.0</v>
      </c>
      <c r="H46" s="108">
        <f t="shared" si="6"/>
        <v>11000</v>
      </c>
      <c r="I46" s="103"/>
      <c r="J46" s="103"/>
      <c r="K46" s="18"/>
      <c r="L46" s="22"/>
      <c r="M46" s="22"/>
      <c r="N46" s="6"/>
      <c r="O46" s="18"/>
      <c r="P46" s="18"/>
      <c r="Q46" s="18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</row>
    <row r="47" ht="15.75" customHeight="1">
      <c r="A47" s="104" t="s">
        <v>53</v>
      </c>
      <c r="B47" s="106">
        <v>35.0</v>
      </c>
      <c r="C47" s="106">
        <v>1.0</v>
      </c>
      <c r="D47" s="107" t="s">
        <v>35</v>
      </c>
      <c r="E47" s="108">
        <f t="shared" si="4"/>
        <v>15</v>
      </c>
      <c r="F47" s="109">
        <f t="shared" si="10"/>
        <v>25</v>
      </c>
      <c r="G47" s="106">
        <v>1100.0</v>
      </c>
      <c r="H47" s="108">
        <f t="shared" si="6"/>
        <v>27500</v>
      </c>
      <c r="I47" s="103"/>
      <c r="J47" s="103"/>
      <c r="K47" s="18"/>
      <c r="L47" s="22"/>
      <c r="M47" s="22"/>
      <c r="N47" s="6"/>
      <c r="O47" s="18"/>
      <c r="P47" s="18"/>
      <c r="Q47" s="18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</row>
    <row r="48" ht="15.75" customHeight="1">
      <c r="A48" s="71" t="s">
        <v>53</v>
      </c>
      <c r="B48" s="71">
        <v>35.0</v>
      </c>
      <c r="C48" s="71">
        <v>1.0</v>
      </c>
      <c r="D48" s="83" t="s">
        <v>35</v>
      </c>
      <c r="E48" s="72">
        <f t="shared" si="4"/>
        <v>15</v>
      </c>
      <c r="F48" s="73">
        <f t="shared" ref="F48:F49" si="11">MROUND(B48*0.7,5)</f>
        <v>25</v>
      </c>
      <c r="G48" s="71">
        <v>1100.0</v>
      </c>
      <c r="H48" s="72">
        <f t="shared" si="6"/>
        <v>27500</v>
      </c>
      <c r="K48" s="14"/>
      <c r="L48" s="20"/>
      <c r="M48" s="20"/>
      <c r="N48" s="21"/>
      <c r="O48" s="19"/>
      <c r="P48" s="19"/>
      <c r="Q48" s="14"/>
    </row>
    <row r="49" ht="15.75" customHeight="1">
      <c r="A49" s="71" t="s">
        <v>53</v>
      </c>
      <c r="B49" s="71">
        <v>35.0</v>
      </c>
      <c r="C49" s="71">
        <v>1.0</v>
      </c>
      <c r="D49" s="83" t="s">
        <v>35</v>
      </c>
      <c r="E49" s="72">
        <f t="shared" si="4"/>
        <v>15</v>
      </c>
      <c r="F49" s="73">
        <f t="shared" si="11"/>
        <v>25</v>
      </c>
      <c r="G49" s="71">
        <v>1100.0</v>
      </c>
      <c r="H49" s="72">
        <f t="shared" si="6"/>
        <v>27500</v>
      </c>
      <c r="K49" s="14"/>
      <c r="L49" s="20"/>
      <c r="M49" s="20"/>
      <c r="N49" s="21"/>
      <c r="O49" s="19"/>
      <c r="P49" s="19"/>
      <c r="Q49" s="14"/>
    </row>
    <row r="50" ht="16.5" customHeight="1">
      <c r="A50" s="12" t="str">
        <f>"Total: "&amp;COUNTA(A20:A49)</f>
        <v>Total: 30</v>
      </c>
      <c r="B50" s="12"/>
      <c r="C50" s="12"/>
      <c r="D50" s="12"/>
      <c r="E50" s="12">
        <f>sum(E20:E49)</f>
        <v>585</v>
      </c>
      <c r="F50" s="12">
        <f>SUM(F20:F49)</f>
        <v>975</v>
      </c>
      <c r="G50" s="12"/>
      <c r="H50" s="12">
        <f>sum(H20:H49)</f>
        <v>915618</v>
      </c>
      <c r="I50" s="24" t="s">
        <v>16</v>
      </c>
      <c r="J50" s="4"/>
      <c r="K50" s="18"/>
      <c r="L50" s="18"/>
      <c r="M50" s="14"/>
      <c r="N50" s="14"/>
      <c r="O50" s="14"/>
      <c r="P50" s="14"/>
      <c r="Q50" s="14"/>
    </row>
    <row r="51" ht="16.5" customHeight="1">
      <c r="F51" s="13"/>
      <c r="H51" s="25">
        <f>I51*0.925</f>
        <v>928718.5</v>
      </c>
      <c r="I51" s="26">
        <f>(H2-H4-H7)</f>
        <v>1004020</v>
      </c>
      <c r="J51" s="4"/>
      <c r="K51" s="18"/>
      <c r="L51" s="18"/>
      <c r="M51" s="14"/>
      <c r="N51" s="14"/>
      <c r="O51" s="14"/>
      <c r="P51" s="14"/>
      <c r="Q51" s="14"/>
    </row>
    <row r="52" ht="16.5" customHeight="1">
      <c r="G52" s="53" t="s">
        <v>36</v>
      </c>
      <c r="H52" s="54">
        <f>H51-H50</f>
        <v>13100.5</v>
      </c>
      <c r="J52" s="4"/>
      <c r="K52" s="4"/>
      <c r="L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6.5" customHeight="1">
      <c r="A54" s="27"/>
      <c r="B54" s="27"/>
      <c r="C54" s="27"/>
      <c r="D54" s="84" t="s">
        <v>54</v>
      </c>
      <c r="E54" s="28" t="s">
        <v>18</v>
      </c>
      <c r="F54" s="28" t="s">
        <v>19</v>
      </c>
      <c r="G54" s="85" t="s">
        <v>55</v>
      </c>
      <c r="H54" s="30" t="s">
        <v>20</v>
      </c>
      <c r="J54" s="4"/>
      <c r="K54" s="4"/>
      <c r="L54" s="4"/>
    </row>
    <row r="55" ht="16.5" customHeight="1">
      <c r="A55" s="86" t="s">
        <v>32</v>
      </c>
      <c r="B55" s="87"/>
      <c r="C55" s="87"/>
      <c r="D55" s="87">
        <f>H4/2</f>
        <v>297990</v>
      </c>
      <c r="E55" s="87">
        <f t="shared" ref="E55:F55" si="12">SUM(E20:E34)</f>
        <v>300</v>
      </c>
      <c r="F55" s="87">
        <f t="shared" si="12"/>
        <v>500</v>
      </c>
      <c r="G55" s="87">
        <f>SUM(H20:H34)</f>
        <v>393118</v>
      </c>
      <c r="H55" s="89">
        <f t="shared" ref="H55:H56" si="14">(G55+D55)/F55</f>
        <v>1382.216</v>
      </c>
      <c r="I55" s="4"/>
      <c r="J55" s="4"/>
      <c r="K55" s="4"/>
      <c r="L55" s="4"/>
    </row>
    <row r="56" ht="16.5" customHeight="1">
      <c r="A56" s="90" t="s">
        <v>38</v>
      </c>
      <c r="B56" s="91"/>
      <c r="C56" s="91"/>
      <c r="D56" s="92">
        <f>H4/2</f>
        <v>297990</v>
      </c>
      <c r="E56" s="92">
        <f t="shared" ref="E56:F56" si="13">sum(E35:E49)</f>
        <v>285</v>
      </c>
      <c r="F56" s="92">
        <f t="shared" si="13"/>
        <v>475</v>
      </c>
      <c r="G56" s="92">
        <f>SUM(H35:H49)</f>
        <v>522500</v>
      </c>
      <c r="H56" s="93">
        <f t="shared" si="14"/>
        <v>1727.347368</v>
      </c>
      <c r="I56" s="4"/>
      <c r="J56" s="4"/>
      <c r="K56" s="4"/>
      <c r="L56" s="4"/>
    </row>
    <row r="57" ht="16.5" customHeight="1">
      <c r="A57" s="27" t="s">
        <v>17</v>
      </c>
      <c r="B57" s="27"/>
      <c r="C57" s="27"/>
      <c r="D57" s="27"/>
      <c r="E57" s="27"/>
      <c r="F57" s="28"/>
      <c r="G57" s="28"/>
      <c r="H57" s="29"/>
      <c r="J57" s="4"/>
      <c r="K57" s="4"/>
      <c r="L57" s="4"/>
    </row>
    <row r="58" ht="16.5" customHeight="1">
      <c r="A58" s="27"/>
      <c r="B58" s="27"/>
      <c r="C58" s="27"/>
      <c r="D58" s="27"/>
      <c r="E58" s="28" t="s">
        <v>18</v>
      </c>
      <c r="F58" s="28" t="s">
        <v>19</v>
      </c>
      <c r="G58" s="28"/>
      <c r="H58" s="30" t="s">
        <v>20</v>
      </c>
      <c r="J58" s="4"/>
      <c r="K58" s="4"/>
      <c r="L58" s="4"/>
    </row>
    <row r="59" ht="16.5" customHeight="1">
      <c r="A59" s="27"/>
      <c r="B59" s="27"/>
      <c r="C59" s="27"/>
      <c r="D59" s="27"/>
      <c r="E59" s="27">
        <f>(E15+E50)*1000</f>
        <v>5047500</v>
      </c>
      <c r="F59" s="30">
        <f>(F15+F50)*1000</f>
        <v>18825000</v>
      </c>
      <c r="G59" s="28"/>
      <c r="H59" s="94">
        <f>(H2/F59)*1000</f>
        <v>106.2416999</v>
      </c>
      <c r="J59" s="4"/>
      <c r="K59" s="4"/>
      <c r="L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6.5" customHeight="1">
      <c r="A62" s="5"/>
      <c r="B62" s="4"/>
      <c r="C62" s="4"/>
      <c r="D62" s="4"/>
      <c r="E62" s="5"/>
      <c r="F62" s="5"/>
      <c r="G62" s="5"/>
      <c r="H62" s="4"/>
      <c r="I62" s="4"/>
      <c r="J62" s="4"/>
      <c r="K62" s="4"/>
      <c r="L62" s="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