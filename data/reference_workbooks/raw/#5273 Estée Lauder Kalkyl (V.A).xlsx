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 Estee Lauder 90 days" sheetId="1" r:id="rId4"/>
    <sheet state="visible" name="SE Estee 45 days" sheetId="2" r:id="rId5"/>
    <sheet state="visible" name="DK Estee Lauder 45 dagar" sheetId="3" r:id="rId6"/>
    <sheet state="visible" name="SE Origins 45 dagar" sheetId="4" r:id="rId7"/>
    <sheet state="visible" name="DK Origins 45 dagar" sheetId="5" r:id="rId8"/>
  </sheets>
  <definedNames/>
  <calcPr/>
  <extLst>
    <ext uri="GoogleSheetsCustomDataVersion2">
      <go:sheetsCustomData xmlns:go="http://customooxmlschemas.google.com/" r:id="rId9" roundtripDataChecksum="GV6qvtRomuq+rao3EsjhzqMPPy8/uBuvLpMm6ml4BR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======
ID#AAAB3NVPIQM
Viola Arrfors    (2026-04-13 13:50:02)
faktiskt arvode om man subtraherar diffen</t>
      </text>
    </comment>
  </commentList>
  <extLst>
    <ext uri="GoogleSheetsCustomDataVersion2">
      <go:sheetsCustomData xmlns:go="http://customooxmlschemas.google.com/" r:id="rId1" roundtripDataSignature="AMtx7mgLSpEE+MYH+mjzU3lM+8cppr6Rtg=="/>
    </ext>
  </extLst>
</comments>
</file>

<file path=xl/sharedStrings.xml><?xml version="1.0" encoding="utf-8"?>
<sst xmlns="http://schemas.openxmlformats.org/spreadsheetml/2006/main" count="245" uniqueCount="41">
  <si>
    <t>Valuta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</si>
  <si>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</si>
  <si>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</si>
  <si>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</si>
  <si>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</si>
  <si>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</si>
  <si>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</si>
  <si>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</si>
  <si>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</si>
  <si>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</si>
  <si>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</si>
  <si>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</si>
  <si>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</si>
  <si>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Meta</t>
  </si>
  <si>
    <t>räckvidd/trafik</t>
  </si>
  <si>
    <t>Media spend TikTok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</si>
  <si>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</si>
  <si>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</si>
  <si>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</si>
  <si>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</si>
  <si>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</si>
  <si>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</si>
  <si>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</si>
  <si>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</si>
  <si>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</si>
  <si>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ACTUAL profile fee</t>
  </si>
  <si>
    <t>urspr profile fee</t>
  </si>
  <si>
    <t>varav rättigheter</t>
  </si>
  <si>
    <t>profile fee exkl rättigheter</t>
  </si>
  <si>
    <t>Endast rättigheter</t>
  </si>
  <si>
    <t>Rättigheter 3 mån</t>
  </si>
  <si>
    <t>Så mycket högre blir arvodet med 3 mån rättighter</t>
  </si>
  <si>
    <t>TikTok</t>
  </si>
  <si>
    <t>90 days</t>
  </si>
  <si>
    <t>Instagram</t>
  </si>
  <si>
    <t>inkl 7,5%</t>
  </si>
  <si>
    <t>Diff:</t>
  </si>
  <si>
    <t>TOTAL CAMPAIGN</t>
  </si>
  <si>
    <t>CPM</t>
  </si>
  <si>
    <t>Rättigheter 1.5 mån</t>
  </si>
  <si>
    <t>upp till 45 dagar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</si>
</sst>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 ### ##0"/>
    <numFmt numFmtId="165" formatCode="## ### ### ###"/>
    <numFmt numFmtId="166" formatCode="0.0%"/>
  </numFmts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E69138"/>
      <name val="Arial"/>
      <scheme val="minor"/>
    </font>
    <font>
      <i/>
      <color theme="1"/>
      <name val="Arial"/>
    </font>
    <font>
      <b/>
      <color rgb="FFF6B26B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rgb="FF38761D"/>
      <name val="Arial"/>
    </font>
    <font>
      <i/>
      <color rgb="FFB7B7B7"/>
      <name val="Arial"/>
      <scheme val="minor"/>
    </font>
    <font>
      <b/>
      <i/>
      <color theme="1"/>
      <name val="Arial"/>
    </font>
    <font>
      <b/>
      <color rgb="FF666666"/>
      <name val="Arial"/>
    </font>
    <font>
      <b/>
      <color rgb="FFB45F06"/>
      <name val="Arial"/>
      <scheme val="minor"/>
    </font>
    <font>
      <i/>
      <color rgb="FF666666"/>
      <name val="Arial"/>
    </font>
    <font>
      <i/>
      <color rgb="FFB7B7B7"/>
      <name val="Arial"/>
    </font>
    <font>
      <color rgb="FFB7B7B7"/>
      <name val="Arial"/>
    </font>
    <font>
      <b/>
      <color rgb="FFB7B7B7"/>
      <name val="Arial"/>
    </font>
    <font>
      <b/>
      <color rgb="FF000000"/>
      <name val="Arial"/>
    </font>
    <font>
      <i/>
      <color rgb="FF000000"/>
      <name val="Arial"/>
    </font>
    <font>
      <i/>
      <color rgb="FF999999"/>
      <name val="Arial"/>
    </font>
    <font>
      <color rgb="FF999999"/>
      <name val="Arial"/>
    </font>
    <font>
      <b/>
      <color rgb="FF99999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0" fontId="3" numFmtId="165" xfId="0" applyFont="1" applyNumberFormat="1"/>
    <xf borderId="0" fillId="4" fontId="4" numFmtId="0" xfId="0" applyFont="1"/>
    <xf borderId="0" fillId="4" fontId="4" numFmtId="10" xfId="0" applyFont="1" applyNumberFormat="1"/>
    <xf borderId="0" fillId="0" fontId="5" numFmtId="9" xfId="0" applyFont="1" applyNumberFormat="1"/>
    <xf borderId="0" fillId="0" fontId="4" numFmtId="10" xfId="0" applyFont="1" applyNumberFormat="1"/>
    <xf borderId="0" fillId="5" fontId="1" numFmtId="0" xfId="0" applyFill="1" applyFont="1"/>
    <xf borderId="0" fillId="5" fontId="1" numFmtId="0" xfId="0" applyAlignment="1" applyFont="1">
      <alignment readingOrder="0"/>
    </xf>
    <xf borderId="0" fillId="0" fontId="6" numFmtId="0" xfId="0" applyFont="1"/>
    <xf borderId="0" fillId="5" fontId="2" numFmtId="0" xfId="0" applyFont="1"/>
    <xf borderId="0" fillId="5" fontId="4" numFmtId="10" xfId="0" applyFont="1" applyNumberFormat="1"/>
    <xf borderId="0" fillId="5" fontId="4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4" numFmtId="0" xfId="0" applyAlignment="1" applyFont="1">
      <alignment horizontal="right" vertical="bottom"/>
    </xf>
    <xf borderId="0" fillId="7" fontId="1" numFmtId="0" xfId="0" applyFill="1" applyFont="1"/>
    <xf borderId="0" fillId="0" fontId="1" numFmtId="0" xfId="0" applyFont="1"/>
    <xf borderId="0" fillId="3" fontId="2" numFmtId="0" xfId="0" applyAlignment="1" applyFont="1">
      <alignment readingOrder="0"/>
    </xf>
    <xf borderId="0" fillId="7" fontId="4" numFmtId="0" xfId="0" applyFont="1"/>
    <xf borderId="0" fillId="7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8" fontId="1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7" fontId="6" numFmtId="0" xfId="0" applyFont="1"/>
    <xf borderId="0" fillId="0" fontId="6" numFmtId="0" xfId="0" applyFont="1"/>
    <xf borderId="0" fillId="0" fontId="2" numFmtId="10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8" fontId="2" numFmtId="0" xfId="0" applyFont="1"/>
    <xf borderId="0" fillId="0" fontId="6" numFmtId="10" xfId="0" applyFont="1" applyNumberFormat="1"/>
    <xf borderId="0" fillId="0" fontId="8" numFmtId="0" xfId="0" applyAlignment="1" applyFont="1">
      <alignment horizontal="right"/>
    </xf>
    <xf borderId="0" fillId="0" fontId="8" numFmtId="0" xfId="0" applyFont="1"/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horizontal="left"/>
    </xf>
    <xf borderId="0" fillId="9" fontId="1" numFmtId="0" xfId="0" applyFill="1" applyFont="1"/>
    <xf borderId="0" fillId="9" fontId="4" numFmtId="0" xfId="0" applyFont="1"/>
    <xf borderId="0" fillId="9" fontId="2" numFmtId="0" xfId="0" applyFont="1"/>
    <xf borderId="0" fillId="9" fontId="10" numFmtId="0" xfId="0" applyFont="1"/>
    <xf borderId="0" fillId="0" fontId="1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4" fontId="11" numFmtId="0" xfId="0" applyAlignment="1" applyFont="1">
      <alignment readingOrder="0"/>
    </xf>
    <xf borderId="0" fillId="0" fontId="12" numFmtId="165" xfId="0" applyFont="1" applyNumberFormat="1"/>
    <xf borderId="0" fillId="4" fontId="13" numFmtId="10" xfId="0" applyFont="1" applyNumberFormat="1"/>
    <xf borderId="0" fillId="0" fontId="12" numFmtId="9" xfId="0" applyFont="1" applyNumberFormat="1"/>
    <xf borderId="0" fillId="7" fontId="14" numFmtId="0" xfId="0" applyFont="1"/>
    <xf borderId="0" fillId="7" fontId="1" numFmtId="1" xfId="0" applyAlignment="1" applyFont="1" applyNumberFormat="1">
      <alignment readingOrder="0"/>
    </xf>
    <xf borderId="0" fillId="6" fontId="15" numFmtId="0" xfId="0" applyFont="1"/>
    <xf borderId="0" fillId="7" fontId="6" numFmtId="1" xfId="0" applyFont="1" applyNumberFormat="1"/>
    <xf borderId="0" fillId="7" fontId="16" numFmtId="0" xfId="0" applyFont="1"/>
    <xf borderId="0" fillId="0" fontId="14" numFmtId="0" xfId="0" applyFont="1"/>
    <xf borderId="0" fillId="0" fontId="6" numFmtId="1" xfId="0" applyFont="1" applyNumberFormat="1"/>
    <xf borderId="0" fillId="4" fontId="17" numFmtId="0" xfId="0" applyAlignment="1" applyFont="1">
      <alignment readingOrder="0"/>
    </xf>
    <xf borderId="0" fillId="0" fontId="12" numFmtId="0" xfId="0" applyFont="1"/>
    <xf borderId="0" fillId="4" fontId="18" numFmtId="10" xfId="0" applyFont="1" applyNumberFormat="1"/>
    <xf borderId="0" fillId="0" fontId="12" numFmtId="166" xfId="0" applyFont="1" applyNumberFormat="1"/>
    <xf borderId="0" fillId="0" fontId="2" numFmtId="0" xfId="0" applyAlignment="1" applyFont="1">
      <alignment horizontal="right" readingOrder="0" vertical="bottom"/>
    </xf>
    <xf borderId="0" fillId="7" fontId="19" numFmtId="0" xfId="0" applyFont="1"/>
    <xf borderId="0" fillId="6" fontId="20" numFmtId="0" xfId="0" applyFont="1"/>
    <xf borderId="0" fillId="7" fontId="21" numFmtId="0" xfId="0" applyFont="1"/>
    <xf borderId="0" fillId="0" fontId="7" numFmtId="1" xfId="0" applyFont="1" applyNumberFormat="1"/>
    <xf borderId="0" fillId="0" fontId="4" numFmtId="0" xfId="0" applyAlignment="1" applyFont="1">
      <alignment horizontal="right"/>
    </xf>
    <xf borderId="0" fillId="0" fontId="19" numFmtId="0" xfId="0" applyFont="1"/>
    <xf borderId="0" fillId="0" fontId="18" numFmtId="0" xfId="0" applyFont="1"/>
    <xf borderId="0" fillId="0" fontId="6" numFmtId="9" xfId="0" applyAlignment="1" applyFont="1" applyNumberFormat="1">
      <alignment readingOrder="0"/>
    </xf>
    <xf borderId="0" fillId="3" fontId="2" numFmtId="9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  <col customWidth="1" min="12" max="12" width="13.0"/>
    <col customWidth="1" min="13" max="13" width="19.75"/>
    <col customWidth="1" min="15" max="15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  <c r="M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80000.0</v>
      </c>
      <c r="I2" s="4"/>
      <c r="J2" s="4"/>
      <c r="K2" s="4"/>
      <c r="L2" s="4"/>
      <c r="M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  <c r="M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35145.0</v>
      </c>
      <c r="I4" s="11">
        <f>H4+I23</f>
        <v>32710.875</v>
      </c>
    </row>
    <row r="5" ht="15.75" customHeight="1">
      <c r="A5" s="12" t="s">
        <v>4</v>
      </c>
      <c r="B5" s="9"/>
      <c r="C5" s="9"/>
      <c r="D5" s="9"/>
      <c r="E5" s="9"/>
      <c r="F5" s="9"/>
      <c r="G5" s="9"/>
      <c r="H5" s="13">
        <f>H4/H2</f>
        <v>0.4393125</v>
      </c>
      <c r="I5" s="14">
        <f>I4/H2</f>
        <v>0.4088859375</v>
      </c>
    </row>
    <row r="6" ht="15.75" customHeight="1">
      <c r="H6" s="15"/>
    </row>
    <row r="7" ht="15.75" customHeight="1">
      <c r="A7" s="16" t="s">
        <v>5</v>
      </c>
      <c r="B7" s="16"/>
      <c r="C7" s="16"/>
      <c r="D7" s="16"/>
      <c r="E7" s="16"/>
      <c r="F7" s="16"/>
      <c r="G7" s="16"/>
      <c r="H7" s="17">
        <v>0.0</v>
      </c>
      <c r="I7" s="18">
        <f>H2*0.16</f>
        <v>12800</v>
      </c>
    </row>
    <row r="8" ht="15.75" customHeight="1">
      <c r="A8" s="19" t="s">
        <v>4</v>
      </c>
      <c r="B8" s="16"/>
      <c r="C8" s="16"/>
      <c r="D8" s="16"/>
      <c r="E8" s="16"/>
      <c r="F8" s="16"/>
      <c r="G8" s="16"/>
      <c r="H8" s="20">
        <f>H7/H2</f>
        <v>0</v>
      </c>
    </row>
    <row r="9" ht="15.75" customHeight="1">
      <c r="A9" s="16"/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16"/>
      <c r="K9" s="22"/>
      <c r="L9" s="22"/>
      <c r="M9" s="22"/>
      <c r="N9" s="22"/>
      <c r="O9" s="22"/>
      <c r="P9" s="22"/>
      <c r="Q9" s="22"/>
      <c r="R9" s="22"/>
    </row>
    <row r="10" ht="15.75" customHeight="1">
      <c r="A10" s="23" t="s">
        <v>12</v>
      </c>
      <c r="B10" s="24">
        <v>0.0</v>
      </c>
      <c r="C10" s="23">
        <v>2000.0</v>
      </c>
      <c r="D10" s="25"/>
      <c r="E10" s="25"/>
      <c r="F10" s="25"/>
      <c r="G10" s="25"/>
      <c r="H10" s="25">
        <f>B10*C10</f>
        <v>0</v>
      </c>
      <c r="K10" s="22"/>
      <c r="L10" s="22"/>
      <c r="M10" s="22"/>
      <c r="N10" s="22"/>
      <c r="O10" s="22"/>
      <c r="P10" s="22"/>
      <c r="Q10" s="22"/>
      <c r="R10" s="22"/>
    </row>
    <row r="11" ht="15.75" customHeight="1">
      <c r="A11" s="23" t="s">
        <v>13</v>
      </c>
      <c r="B11" s="25"/>
      <c r="C11" s="25"/>
      <c r="D11" s="23" t="s">
        <v>14</v>
      </c>
      <c r="E11" s="26">
        <f t="shared" ref="E11:E13" si="1">F11*0.25</f>
        <v>0</v>
      </c>
      <c r="F11" s="26">
        <f t="shared" ref="F11:F12" si="2">sum(1000*H11)/G11*0.85</f>
        <v>0</v>
      </c>
      <c r="G11" s="27">
        <v>20.0</v>
      </c>
      <c r="H11" s="28">
        <f>(H7-H10)/2</f>
        <v>0</v>
      </c>
      <c r="K11" s="22"/>
      <c r="L11" s="22"/>
      <c r="M11" s="22"/>
      <c r="N11" s="22"/>
      <c r="O11" s="22"/>
      <c r="P11" s="22"/>
      <c r="Q11" s="22"/>
      <c r="R11" s="22"/>
    </row>
    <row r="12" ht="15.75" customHeight="1">
      <c r="A12" s="23" t="s">
        <v>15</v>
      </c>
      <c r="B12" s="25"/>
      <c r="C12" s="25"/>
      <c r="D12" s="23" t="s">
        <v>14</v>
      </c>
      <c r="E12" s="26">
        <f t="shared" si="1"/>
        <v>0</v>
      </c>
      <c r="F12" s="26">
        <f t="shared" si="2"/>
        <v>0</v>
      </c>
      <c r="G12" s="27">
        <v>15.0</v>
      </c>
      <c r="H12" s="28">
        <f>(H7-H10)/2</f>
        <v>0</v>
      </c>
      <c r="I12" s="29"/>
      <c r="K12" s="22"/>
      <c r="L12" s="22"/>
      <c r="M12" s="22"/>
      <c r="N12" s="22"/>
      <c r="O12" s="22"/>
      <c r="P12" s="22"/>
      <c r="Q12" s="22"/>
      <c r="R12" s="22"/>
    </row>
    <row r="13" ht="15.75" customHeight="1">
      <c r="A13" s="16" t="s">
        <v>16</v>
      </c>
      <c r="B13" s="16"/>
      <c r="C13" s="16"/>
      <c r="D13" s="16"/>
      <c r="E13" s="30">
        <f t="shared" si="1"/>
        <v>0</v>
      </c>
      <c r="F13" s="31">
        <f>sum(F10:F12)/1000</f>
        <v>0</v>
      </c>
      <c r="G13" s="32"/>
      <c r="H13" s="33">
        <f>sum(H10:H12)</f>
        <v>0</v>
      </c>
      <c r="I13" s="34"/>
      <c r="K13" s="22"/>
      <c r="L13" s="22"/>
      <c r="M13" s="22"/>
      <c r="N13" s="22"/>
      <c r="O13" s="22"/>
      <c r="P13" s="22"/>
      <c r="Q13" s="22"/>
      <c r="R13" s="22"/>
    </row>
    <row r="14" ht="15.75" customHeight="1">
      <c r="A14" s="21" t="s">
        <v>4</v>
      </c>
      <c r="B14" s="16"/>
      <c r="C14" s="16"/>
      <c r="D14" s="16"/>
      <c r="E14" s="35"/>
      <c r="F14" s="36"/>
      <c r="G14" s="32"/>
      <c r="H14" s="37">
        <f>H13/H2</f>
        <v>0</v>
      </c>
      <c r="I14" s="34"/>
      <c r="K14" s="22"/>
      <c r="L14" s="22"/>
      <c r="M14" s="22"/>
      <c r="N14" s="22"/>
      <c r="O14" s="22"/>
      <c r="P14" s="22"/>
      <c r="Q14" s="22"/>
      <c r="R14" s="22"/>
    </row>
    <row r="15" ht="15.75" customHeight="1">
      <c r="I15" s="22"/>
      <c r="K15" s="22"/>
      <c r="L15" s="22"/>
      <c r="M15" s="22"/>
      <c r="N15" s="22"/>
      <c r="O15" s="22"/>
      <c r="P15" s="22"/>
      <c r="Q15" s="22"/>
      <c r="R15" s="22"/>
    </row>
    <row r="16" ht="15.75" customHeight="1">
      <c r="A16" s="38" t="s">
        <v>17</v>
      </c>
      <c r="B16" s="38"/>
      <c r="C16" s="38"/>
      <c r="D16" s="38"/>
      <c r="E16" s="38"/>
      <c r="F16" s="38"/>
      <c r="G16" s="38"/>
      <c r="H16" s="38"/>
      <c r="I16" s="39"/>
      <c r="K16" s="40"/>
      <c r="L16" s="22"/>
      <c r="M16" s="22"/>
      <c r="N16" s="22"/>
      <c r="O16" s="22"/>
      <c r="P16" s="22"/>
      <c r="Q16" s="22"/>
      <c r="R16" s="22"/>
    </row>
    <row r="17" ht="15.75" customHeight="1">
      <c r="A17" s="41" t="s">
        <v>18</v>
      </c>
      <c r="B17" s="41" t="s">
        <v>19</v>
      </c>
      <c r="C17" s="41" t="s">
        <v>20</v>
      </c>
      <c r="D17" s="41" t="s">
        <v>21</v>
      </c>
      <c r="E17" s="41" t="s">
        <v>9</v>
      </c>
      <c r="F17" s="41" t="s">
        <v>22</v>
      </c>
      <c r="G17" s="41" t="s">
        <v>23</v>
      </c>
      <c r="H17" s="41" t="s">
        <v>24</v>
      </c>
      <c r="I17" s="42" t="s">
        <v>25</v>
      </c>
      <c r="K17" s="43" t="s">
        <v>26</v>
      </c>
      <c r="L17" s="44" t="s">
        <v>27</v>
      </c>
      <c r="M17" s="44" t="s">
        <v>28</v>
      </c>
      <c r="N17" s="43" t="s">
        <v>29</v>
      </c>
      <c r="O17" s="45" t="s">
        <v>30</v>
      </c>
      <c r="P17" s="40" t="s">
        <v>31</v>
      </c>
      <c r="Q17" s="22"/>
      <c r="R17" s="22"/>
    </row>
    <row r="18" ht="15.75" customHeight="1">
      <c r="A18" s="46" t="s">
        <v>32</v>
      </c>
      <c r="B18" s="24">
        <v>35.0</v>
      </c>
      <c r="C18" s="24">
        <v>1.0</v>
      </c>
      <c r="D18" s="40" t="s">
        <v>33</v>
      </c>
      <c r="E18" s="25">
        <f t="shared" ref="E18:E20" si="3">F18*0.6</f>
        <v>18</v>
      </c>
      <c r="F18" s="23">
        <f>MROUND(B18*0.8,5)</f>
        <v>30</v>
      </c>
      <c r="G18" s="24">
        <v>410.0</v>
      </c>
      <c r="H18" s="25">
        <f t="shared" ref="H18:H20" si="4">F18*G18</f>
        <v>12300</v>
      </c>
      <c r="I18" s="47">
        <f t="shared" ref="I18:I20" si="5">M18+O18</f>
        <v>17220</v>
      </c>
      <c r="K18" s="48">
        <v>12300.0</v>
      </c>
      <c r="L18" s="49">
        <v>0.2</v>
      </c>
      <c r="M18" s="50">
        <f t="shared" ref="M18:M20" si="6">H18*0.8</f>
        <v>9840</v>
      </c>
      <c r="N18" s="18">
        <f t="shared" ref="N18:N20" si="7">H18-M18</f>
        <v>2460</v>
      </c>
      <c r="O18" s="51">
        <f t="shared" ref="O18:O20" si="8">N18*3</f>
        <v>7380</v>
      </c>
      <c r="P18" s="52">
        <f t="shared" ref="P18:P20" si="9">I18/H18</f>
        <v>1.4</v>
      </c>
      <c r="Q18" s="34"/>
      <c r="R18" s="22"/>
    </row>
    <row r="19" ht="15.75" customHeight="1">
      <c r="A19" s="46" t="s">
        <v>34</v>
      </c>
      <c r="B19" s="24">
        <v>15.0</v>
      </c>
      <c r="C19" s="24">
        <v>1.0</v>
      </c>
      <c r="D19" s="40" t="s">
        <v>33</v>
      </c>
      <c r="E19" s="25">
        <f t="shared" si="3"/>
        <v>6</v>
      </c>
      <c r="F19" s="23">
        <f t="shared" ref="F19:F20" si="10">MROUND(B19*0.7,5)</f>
        <v>10</v>
      </c>
      <c r="G19" s="24">
        <v>545.0</v>
      </c>
      <c r="H19" s="25">
        <f t="shared" si="4"/>
        <v>5450</v>
      </c>
      <c r="I19" s="47">
        <f t="shared" si="5"/>
        <v>7630</v>
      </c>
      <c r="K19" s="48">
        <v>5450.0</v>
      </c>
      <c r="L19" s="49">
        <v>0.2</v>
      </c>
      <c r="M19" s="50">
        <f t="shared" si="6"/>
        <v>4360</v>
      </c>
      <c r="N19" s="18">
        <f t="shared" si="7"/>
        <v>1090</v>
      </c>
      <c r="O19" s="51">
        <f t="shared" si="8"/>
        <v>3270</v>
      </c>
      <c r="P19" s="52">
        <f t="shared" si="9"/>
        <v>1.4</v>
      </c>
      <c r="Q19" s="29"/>
      <c r="R19" s="22"/>
    </row>
    <row r="20" ht="15.75" customHeight="1">
      <c r="A20" s="46" t="s">
        <v>34</v>
      </c>
      <c r="B20" s="24">
        <v>35.0</v>
      </c>
      <c r="C20" s="24">
        <v>1.0</v>
      </c>
      <c r="D20" s="40" t="s">
        <v>33</v>
      </c>
      <c r="E20" s="25">
        <f t="shared" si="3"/>
        <v>15</v>
      </c>
      <c r="F20" s="23">
        <f t="shared" si="10"/>
        <v>25</v>
      </c>
      <c r="G20" s="24">
        <v>545.0</v>
      </c>
      <c r="H20" s="25">
        <f t="shared" si="4"/>
        <v>13625</v>
      </c>
      <c r="I20" s="47">
        <f t="shared" si="5"/>
        <v>19075</v>
      </c>
      <c r="K20" s="48">
        <v>13625.0</v>
      </c>
      <c r="L20" s="49">
        <v>0.2</v>
      </c>
      <c r="M20" s="50">
        <f t="shared" si="6"/>
        <v>10900</v>
      </c>
      <c r="N20" s="18">
        <f t="shared" si="7"/>
        <v>2725</v>
      </c>
      <c r="O20" s="51">
        <f t="shared" si="8"/>
        <v>8175</v>
      </c>
      <c r="P20" s="52">
        <f t="shared" si="9"/>
        <v>1.4</v>
      </c>
      <c r="Q20" s="29"/>
      <c r="R20" s="22"/>
    </row>
    <row r="21" ht="15.75" customHeight="1">
      <c r="A21" s="38" t="s">
        <v>16</v>
      </c>
      <c r="B21" s="38"/>
      <c r="C21" s="38"/>
      <c r="D21" s="38"/>
      <c r="E21" s="38">
        <f>sum(E18:E20)</f>
        <v>39</v>
      </c>
      <c r="F21" s="38">
        <f>SUM(F18:F20)</f>
        <v>65</v>
      </c>
      <c r="G21" s="38"/>
      <c r="H21" s="38">
        <f>sum(H18:H20)</f>
        <v>31375</v>
      </c>
      <c r="I21" s="47">
        <f>SUM(I18:I20)</f>
        <v>43925</v>
      </c>
      <c r="J21" s="53" t="s">
        <v>35</v>
      </c>
      <c r="K21" s="34"/>
      <c r="L21" s="34"/>
      <c r="M21" s="34"/>
      <c r="N21" s="22"/>
      <c r="O21" s="22"/>
      <c r="P21" s="22"/>
      <c r="Q21" s="22"/>
      <c r="R21" s="22"/>
    </row>
    <row r="22" ht="15.75" customHeight="1">
      <c r="A22" s="18">
        <f>COUNTA(A18:A20)</f>
        <v>3</v>
      </c>
      <c r="H22" s="54">
        <f>J22*0.925</f>
        <v>41490.875</v>
      </c>
      <c r="J22" s="54">
        <f>H2-H4-H7</f>
        <v>44855</v>
      </c>
      <c r="K22" s="34"/>
      <c r="L22" s="34"/>
      <c r="M22" s="34"/>
      <c r="N22" s="22"/>
      <c r="O22" s="22"/>
      <c r="P22" s="22"/>
      <c r="Q22" s="22"/>
      <c r="R22" s="22"/>
    </row>
    <row r="23" ht="15.75" customHeight="1">
      <c r="G23" s="55" t="s">
        <v>36</v>
      </c>
      <c r="H23" s="56">
        <f>ROUNDUP(H22-H21,0)</f>
        <v>10116</v>
      </c>
      <c r="I23" s="18">
        <f>H22-I21</f>
        <v>-2434.125</v>
      </c>
      <c r="J23" s="4"/>
      <c r="K23" s="4"/>
      <c r="L23" s="4"/>
      <c r="M23" s="4"/>
    </row>
    <row r="24" ht="15.75" customHeight="1">
      <c r="A24" s="57" t="s">
        <v>37</v>
      </c>
      <c r="B24" s="57"/>
      <c r="C24" s="57"/>
      <c r="D24" s="57"/>
      <c r="E24" s="57"/>
      <c r="F24" s="58"/>
      <c r="G24" s="58"/>
      <c r="H24" s="59"/>
      <c r="J24" s="4"/>
      <c r="K24" s="4"/>
      <c r="L24" s="4"/>
      <c r="M24" s="4"/>
    </row>
    <row r="25" ht="15.75" customHeight="1">
      <c r="A25" s="57"/>
      <c r="B25" s="57"/>
      <c r="C25" s="57"/>
      <c r="D25" s="57"/>
      <c r="E25" s="58" t="s">
        <v>9</v>
      </c>
      <c r="F25" s="58" t="s">
        <v>10</v>
      </c>
      <c r="G25" s="58" t="s">
        <v>38</v>
      </c>
      <c r="H25" s="59"/>
      <c r="J25" s="4"/>
      <c r="K25" s="4"/>
      <c r="L25" s="4"/>
      <c r="M25" s="4"/>
    </row>
    <row r="26" ht="15.75" customHeight="1">
      <c r="A26" s="57"/>
      <c r="B26" s="57"/>
      <c r="C26" s="57"/>
      <c r="D26" s="57"/>
      <c r="E26" s="57">
        <f t="shared" ref="E26:F26" si="11">(E13+E21)*1000</f>
        <v>39000</v>
      </c>
      <c r="F26" s="60">
        <f t="shared" si="11"/>
        <v>65000</v>
      </c>
      <c r="G26" s="60">
        <f>(H2/F26)*1000</f>
        <v>1230.769231</v>
      </c>
      <c r="H26" s="59"/>
      <c r="J26" s="4"/>
      <c r="K26" s="4"/>
      <c r="L26" s="4"/>
      <c r="M26" s="4"/>
    </row>
    <row r="27" ht="15.75" customHeight="1">
      <c r="A27" s="6"/>
      <c r="B27" s="4"/>
      <c r="C27" s="4"/>
      <c r="D27" s="4"/>
      <c r="E27" s="4"/>
      <c r="F27" s="4"/>
      <c r="G27" s="61"/>
      <c r="H27" s="28"/>
      <c r="I27" s="4"/>
      <c r="J27" s="4"/>
      <c r="K27" s="4"/>
      <c r="L27" s="4"/>
      <c r="M27" s="4"/>
    </row>
    <row r="28" ht="15.75" customHeight="1">
      <c r="A28" s="4"/>
      <c r="B28" s="62"/>
      <c r="C28" s="62"/>
      <c r="D28" s="62"/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6"/>
      <c r="B32" s="4"/>
      <c r="C32" s="4"/>
      <c r="D32" s="4"/>
      <c r="E32" s="6"/>
      <c r="F32" s="6"/>
      <c r="G32" s="6"/>
      <c r="H32" s="4"/>
      <c r="I32" s="4"/>
      <c r="J32" s="4"/>
      <c r="K32" s="4"/>
      <c r="L32" s="4"/>
      <c r="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6"/>
      <c r="B36" s="28"/>
      <c r="C36" s="28"/>
      <c r="D36" s="28"/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  <col customWidth="1" min="12" max="12" width="13.0"/>
    <col customWidth="1" min="13" max="13" width="19.75"/>
    <col customWidth="1" min="15" max="15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  <c r="M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80000.0</v>
      </c>
      <c r="I2" s="4"/>
      <c r="J2" s="4"/>
      <c r="K2" s="4"/>
      <c r="L2" s="4"/>
      <c r="M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  <c r="M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63">
        <v>35145.0</v>
      </c>
      <c r="I4" s="64">
        <f>H4+I23</f>
        <v>33130.875</v>
      </c>
    </row>
    <row r="5" ht="15.75" customHeight="1">
      <c r="A5" s="12" t="s">
        <v>4</v>
      </c>
      <c r="B5" s="9"/>
      <c r="C5" s="9"/>
      <c r="D5" s="9"/>
      <c r="E5" s="9"/>
      <c r="F5" s="9"/>
      <c r="G5" s="9"/>
      <c r="H5" s="65">
        <f>H4/H2</f>
        <v>0.4393125</v>
      </c>
      <c r="I5" s="66">
        <f>I4/H2</f>
        <v>0.4141359375</v>
      </c>
    </row>
    <row r="6" ht="15.75" customHeight="1">
      <c r="H6" s="15"/>
    </row>
    <row r="7" ht="15.75" customHeight="1">
      <c r="A7" s="16" t="s">
        <v>5</v>
      </c>
      <c r="B7" s="16"/>
      <c r="C7" s="16"/>
      <c r="D7" s="16"/>
      <c r="E7" s="16"/>
      <c r="F7" s="16"/>
      <c r="G7" s="16"/>
      <c r="H7" s="17">
        <v>0.0</v>
      </c>
      <c r="I7" s="18">
        <f>H2*0.16</f>
        <v>12800</v>
      </c>
    </row>
    <row r="8" ht="15.75" customHeight="1">
      <c r="A8" s="19" t="s">
        <v>4</v>
      </c>
      <c r="B8" s="16"/>
      <c r="C8" s="16"/>
      <c r="D8" s="16"/>
      <c r="E8" s="16"/>
      <c r="F8" s="16"/>
      <c r="G8" s="16"/>
      <c r="H8" s="20">
        <f>H7/H2</f>
        <v>0</v>
      </c>
    </row>
    <row r="9" ht="15.75" customHeight="1">
      <c r="A9" s="16"/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16"/>
      <c r="K9" s="22"/>
      <c r="L9" s="22"/>
      <c r="M9" s="22"/>
      <c r="N9" s="22"/>
      <c r="O9" s="22"/>
      <c r="P9" s="22"/>
      <c r="Q9" s="22"/>
      <c r="R9" s="22"/>
    </row>
    <row r="10" ht="15.75" customHeight="1">
      <c r="A10" s="23" t="s">
        <v>12</v>
      </c>
      <c r="B10" s="24">
        <v>0.0</v>
      </c>
      <c r="C10" s="23">
        <v>2000.0</v>
      </c>
      <c r="D10" s="25"/>
      <c r="E10" s="25"/>
      <c r="F10" s="25"/>
      <c r="G10" s="25"/>
      <c r="H10" s="25">
        <f>B10*C10</f>
        <v>0</v>
      </c>
      <c r="K10" s="22"/>
      <c r="L10" s="22"/>
      <c r="M10" s="22"/>
      <c r="N10" s="22"/>
      <c r="O10" s="22"/>
      <c r="P10" s="22"/>
      <c r="Q10" s="22"/>
      <c r="R10" s="22"/>
    </row>
    <row r="11" ht="15.75" customHeight="1">
      <c r="A11" s="23" t="s">
        <v>13</v>
      </c>
      <c r="B11" s="25"/>
      <c r="C11" s="25"/>
      <c r="D11" s="23" t="s">
        <v>14</v>
      </c>
      <c r="E11" s="26">
        <f t="shared" ref="E11:E13" si="1">F11*0.25</f>
        <v>0</v>
      </c>
      <c r="F11" s="26">
        <f t="shared" ref="F11:F12" si="2">sum(1000*H11)/G11*0.85</f>
        <v>0</v>
      </c>
      <c r="G11" s="27">
        <v>20.0</v>
      </c>
      <c r="H11" s="28">
        <f>(H7-H10)/2</f>
        <v>0</v>
      </c>
      <c r="K11" s="22"/>
      <c r="L11" s="22"/>
      <c r="M11" s="22"/>
      <c r="N11" s="22"/>
      <c r="O11" s="22"/>
      <c r="P11" s="22"/>
      <c r="Q11" s="22"/>
      <c r="R11" s="22"/>
    </row>
    <row r="12" ht="15.75" customHeight="1">
      <c r="A12" s="23" t="s">
        <v>15</v>
      </c>
      <c r="B12" s="25"/>
      <c r="C12" s="25"/>
      <c r="D12" s="23" t="s">
        <v>14</v>
      </c>
      <c r="E12" s="26">
        <f t="shared" si="1"/>
        <v>0</v>
      </c>
      <c r="F12" s="26">
        <f t="shared" si="2"/>
        <v>0</v>
      </c>
      <c r="G12" s="27">
        <v>15.0</v>
      </c>
      <c r="H12" s="28">
        <f>(H7-H10)/2</f>
        <v>0</v>
      </c>
      <c r="I12" s="29"/>
      <c r="K12" s="22"/>
      <c r="L12" s="22"/>
      <c r="M12" s="22"/>
      <c r="N12" s="22"/>
      <c r="O12" s="22"/>
      <c r="P12" s="22"/>
      <c r="Q12" s="22"/>
      <c r="R12" s="22"/>
    </row>
    <row r="13" ht="15.75" customHeight="1">
      <c r="A13" s="16" t="s">
        <v>16</v>
      </c>
      <c r="B13" s="16"/>
      <c r="C13" s="16"/>
      <c r="D13" s="16"/>
      <c r="E13" s="30">
        <f t="shared" si="1"/>
        <v>0</v>
      </c>
      <c r="F13" s="31">
        <f>sum(F10:F12)/1000</f>
        <v>0</v>
      </c>
      <c r="G13" s="32"/>
      <c r="H13" s="33">
        <f>sum(H10:H12)</f>
        <v>0</v>
      </c>
      <c r="I13" s="34"/>
      <c r="K13" s="22"/>
      <c r="L13" s="22"/>
      <c r="M13" s="22"/>
      <c r="N13" s="22"/>
      <c r="O13" s="22"/>
      <c r="P13" s="22"/>
      <c r="Q13" s="22"/>
      <c r="R13" s="22"/>
    </row>
    <row r="14" ht="15.75" customHeight="1">
      <c r="A14" s="21" t="s">
        <v>4</v>
      </c>
      <c r="B14" s="16"/>
      <c r="C14" s="16"/>
      <c r="D14" s="16"/>
      <c r="E14" s="35"/>
      <c r="F14" s="36"/>
      <c r="G14" s="32"/>
      <c r="H14" s="37">
        <f>H13/H2</f>
        <v>0</v>
      </c>
      <c r="I14" s="34"/>
      <c r="K14" s="22"/>
      <c r="L14" s="22"/>
      <c r="M14" s="22"/>
      <c r="N14" s="22"/>
      <c r="O14" s="22"/>
      <c r="P14" s="22"/>
      <c r="Q14" s="22"/>
      <c r="R14" s="22"/>
    </row>
    <row r="15" ht="15.75" customHeight="1">
      <c r="I15" s="22"/>
      <c r="K15" s="22"/>
      <c r="L15" s="22"/>
      <c r="M15" s="22"/>
      <c r="N15" s="22"/>
      <c r="O15" s="22"/>
      <c r="P15" s="22"/>
      <c r="Q15" s="22"/>
      <c r="R15" s="22"/>
    </row>
    <row r="16" ht="15.75" customHeight="1">
      <c r="A16" s="38" t="s">
        <v>17</v>
      </c>
      <c r="B16" s="38"/>
      <c r="C16" s="38"/>
      <c r="D16" s="38"/>
      <c r="E16" s="38"/>
      <c r="F16" s="38"/>
      <c r="G16" s="38"/>
      <c r="H16" s="38"/>
      <c r="I16" s="39"/>
      <c r="K16" s="40"/>
      <c r="L16" s="22"/>
      <c r="M16" s="22"/>
      <c r="N16" s="22"/>
      <c r="O16" s="22"/>
      <c r="P16" s="22"/>
      <c r="Q16" s="22"/>
      <c r="R16" s="22"/>
    </row>
    <row r="17" ht="15.75" customHeight="1">
      <c r="A17" s="41" t="s">
        <v>18</v>
      </c>
      <c r="B17" s="41" t="s">
        <v>19</v>
      </c>
      <c r="C17" s="41" t="s">
        <v>20</v>
      </c>
      <c r="D17" s="41" t="s">
        <v>21</v>
      </c>
      <c r="E17" s="41" t="s">
        <v>9</v>
      </c>
      <c r="F17" s="41" t="s">
        <v>22</v>
      </c>
      <c r="G17" s="41" t="s">
        <v>23</v>
      </c>
      <c r="H17" s="67" t="s">
        <v>24</v>
      </c>
      <c r="I17" s="68" t="s">
        <v>25</v>
      </c>
      <c r="K17" s="43" t="s">
        <v>26</v>
      </c>
      <c r="L17" s="44" t="s">
        <v>27</v>
      </c>
      <c r="M17" s="44" t="s">
        <v>28</v>
      </c>
      <c r="N17" s="43" t="s">
        <v>29</v>
      </c>
      <c r="O17" s="45" t="s">
        <v>39</v>
      </c>
      <c r="P17" s="40" t="s">
        <v>31</v>
      </c>
      <c r="Q17" s="22"/>
      <c r="R17" s="22"/>
    </row>
    <row r="18" ht="15.75" customHeight="1">
      <c r="A18" s="46" t="s">
        <v>32</v>
      </c>
      <c r="B18" s="24">
        <v>35.0</v>
      </c>
      <c r="C18" s="24">
        <v>1.0</v>
      </c>
      <c r="D18" s="40" t="s">
        <v>40</v>
      </c>
      <c r="E18" s="25">
        <f t="shared" ref="E18:E20" si="3">F18*0.6</f>
        <v>18</v>
      </c>
      <c r="F18" s="23">
        <f>MROUND(B18*0.8,5)</f>
        <v>30</v>
      </c>
      <c r="G18" s="24">
        <v>410.0</v>
      </c>
      <c r="H18" s="69">
        <f t="shared" ref="H18:H20" si="4">F18*G18</f>
        <v>12300</v>
      </c>
      <c r="I18" s="70">
        <f t="shared" ref="I18:I20" si="5">M18+O18</f>
        <v>13530</v>
      </c>
      <c r="K18" s="48">
        <f t="shared" ref="K18:K20" si="6">H18</f>
        <v>12300</v>
      </c>
      <c r="L18" s="49">
        <v>0.2</v>
      </c>
      <c r="M18" s="50">
        <f t="shared" ref="M18:M20" si="7">H18*0.8</f>
        <v>9840</v>
      </c>
      <c r="N18" s="18">
        <f t="shared" ref="N18:N20" si="8">H18-M18</f>
        <v>2460</v>
      </c>
      <c r="O18" s="51">
        <f t="shared" ref="O18:O20" si="9">N18*1.5</f>
        <v>3690</v>
      </c>
      <c r="P18" s="52">
        <f t="shared" ref="P18:P20" si="10">I18/H18</f>
        <v>1.1</v>
      </c>
      <c r="Q18" s="34"/>
      <c r="R18" s="22"/>
    </row>
    <row r="19" ht="15.75" customHeight="1">
      <c r="A19" s="46" t="s">
        <v>34</v>
      </c>
      <c r="B19" s="24">
        <v>35.0</v>
      </c>
      <c r="C19" s="24">
        <v>1.0</v>
      </c>
      <c r="D19" s="40" t="s">
        <v>40</v>
      </c>
      <c r="E19" s="25">
        <f t="shared" si="3"/>
        <v>15</v>
      </c>
      <c r="F19" s="23">
        <f t="shared" ref="F19:F20" si="11">MROUND(B19*0.7,5)</f>
        <v>25</v>
      </c>
      <c r="G19" s="24">
        <v>545.0</v>
      </c>
      <c r="H19" s="69">
        <f t="shared" si="4"/>
        <v>13625</v>
      </c>
      <c r="I19" s="70">
        <f t="shared" si="5"/>
        <v>14987.5</v>
      </c>
      <c r="K19" s="48">
        <f t="shared" si="6"/>
        <v>13625</v>
      </c>
      <c r="L19" s="49">
        <v>0.2</v>
      </c>
      <c r="M19" s="50">
        <f t="shared" si="7"/>
        <v>10900</v>
      </c>
      <c r="N19" s="18">
        <f t="shared" si="8"/>
        <v>2725</v>
      </c>
      <c r="O19" s="51">
        <f t="shared" si="9"/>
        <v>4087.5</v>
      </c>
      <c r="P19" s="52">
        <f t="shared" si="10"/>
        <v>1.1</v>
      </c>
      <c r="Q19" s="29"/>
      <c r="R19" s="22"/>
    </row>
    <row r="20" ht="15.75" customHeight="1">
      <c r="A20" s="46" t="s">
        <v>34</v>
      </c>
      <c r="B20" s="24">
        <v>35.0</v>
      </c>
      <c r="C20" s="24">
        <v>1.0</v>
      </c>
      <c r="D20" s="40" t="s">
        <v>40</v>
      </c>
      <c r="E20" s="25">
        <f t="shared" si="3"/>
        <v>15</v>
      </c>
      <c r="F20" s="23">
        <f t="shared" si="11"/>
        <v>25</v>
      </c>
      <c r="G20" s="24">
        <v>545.0</v>
      </c>
      <c r="H20" s="69">
        <f t="shared" si="4"/>
        <v>13625</v>
      </c>
      <c r="I20" s="70">
        <f t="shared" si="5"/>
        <v>14987.5</v>
      </c>
      <c r="K20" s="48">
        <f t="shared" si="6"/>
        <v>13625</v>
      </c>
      <c r="L20" s="49">
        <v>0.2</v>
      </c>
      <c r="M20" s="50">
        <f t="shared" si="7"/>
        <v>10900</v>
      </c>
      <c r="N20" s="18">
        <f t="shared" si="8"/>
        <v>2725</v>
      </c>
      <c r="O20" s="51">
        <f t="shared" si="9"/>
        <v>4087.5</v>
      </c>
      <c r="P20" s="52">
        <f t="shared" si="10"/>
        <v>1.1</v>
      </c>
      <c r="Q20" s="29"/>
      <c r="R20" s="22"/>
    </row>
    <row r="21" ht="15.75" customHeight="1">
      <c r="A21" s="38" t="s">
        <v>16</v>
      </c>
      <c r="B21" s="38"/>
      <c r="C21" s="38"/>
      <c r="D21" s="38"/>
      <c r="E21" s="38">
        <f>sum(E18:E20)</f>
        <v>48</v>
      </c>
      <c r="F21" s="38">
        <f>SUM(F18:F20)</f>
        <v>80</v>
      </c>
      <c r="G21" s="38"/>
      <c r="H21" s="71">
        <f>sum(H18:H20)</f>
        <v>39550</v>
      </c>
      <c r="I21" s="70">
        <f>SUM(I18:I20)</f>
        <v>43505</v>
      </c>
      <c r="J21" s="53" t="s">
        <v>35</v>
      </c>
      <c r="K21" s="34"/>
      <c r="L21" s="34"/>
      <c r="M21" s="34"/>
      <c r="N21" s="22"/>
      <c r="O21" s="22"/>
      <c r="P21" s="22"/>
      <c r="Q21" s="22"/>
      <c r="R21" s="22"/>
    </row>
    <row r="22" ht="15.75" customHeight="1">
      <c r="A22" s="18">
        <f>COUNTA(A18:A20)</f>
        <v>3</v>
      </c>
      <c r="H22" s="72">
        <f>J22*0.925</f>
        <v>41490.875</v>
      </c>
      <c r="I22" s="73"/>
      <c r="J22" s="54">
        <f>H2-H4-H7</f>
        <v>44855</v>
      </c>
      <c r="K22" s="34"/>
      <c r="L22" s="34"/>
      <c r="M22" s="34"/>
      <c r="N22" s="22"/>
      <c r="O22" s="22"/>
      <c r="P22" s="22"/>
      <c r="Q22" s="22"/>
      <c r="R22" s="22"/>
    </row>
    <row r="23" ht="15.75" customHeight="1">
      <c r="G23" s="55" t="s">
        <v>36</v>
      </c>
      <c r="H23" s="56">
        <f>ROUNDUP(H22-H21,0)</f>
        <v>1941</v>
      </c>
      <c r="I23" s="73">
        <f>H22-I21</f>
        <v>-2014.125</v>
      </c>
      <c r="J23" s="4"/>
      <c r="K23" s="4"/>
      <c r="L23" s="4"/>
      <c r="M23" s="4"/>
    </row>
    <row r="24" ht="15.75" customHeight="1">
      <c r="A24" s="57" t="s">
        <v>37</v>
      </c>
      <c r="B24" s="57"/>
      <c r="C24" s="57"/>
      <c r="D24" s="57"/>
      <c r="E24" s="57"/>
      <c r="F24" s="58"/>
      <c r="G24" s="58"/>
      <c r="H24" s="59"/>
      <c r="J24" s="4"/>
      <c r="K24" s="4"/>
      <c r="L24" s="4"/>
      <c r="M24" s="4"/>
    </row>
    <row r="25" ht="15.75" customHeight="1">
      <c r="A25" s="57"/>
      <c r="B25" s="57"/>
      <c r="C25" s="57"/>
      <c r="D25" s="57"/>
      <c r="E25" s="58" t="s">
        <v>9</v>
      </c>
      <c r="F25" s="58" t="s">
        <v>10</v>
      </c>
      <c r="G25" s="58" t="s">
        <v>38</v>
      </c>
      <c r="H25" s="59"/>
      <c r="J25" s="4"/>
      <c r="K25" s="4"/>
      <c r="L25" s="4"/>
      <c r="M25" s="4"/>
    </row>
    <row r="26" ht="15.75" customHeight="1">
      <c r="A26" s="57"/>
      <c r="B26" s="57"/>
      <c r="C26" s="57"/>
      <c r="D26" s="57"/>
      <c r="E26" s="57">
        <f t="shared" ref="E26:F26" si="12">(E13+E21)*1000</f>
        <v>48000</v>
      </c>
      <c r="F26" s="60">
        <f t="shared" si="12"/>
        <v>80000</v>
      </c>
      <c r="G26" s="60">
        <f>(H2/F26)*1000</f>
        <v>1000</v>
      </c>
      <c r="H26" s="59"/>
      <c r="J26" s="4"/>
      <c r="K26" s="4"/>
      <c r="L26" s="4"/>
      <c r="M26" s="4"/>
    </row>
    <row r="27" ht="15.75" customHeight="1">
      <c r="A27" s="6"/>
      <c r="B27" s="4"/>
      <c r="C27" s="4"/>
      <c r="D27" s="4"/>
      <c r="E27" s="4"/>
      <c r="F27" s="4"/>
      <c r="G27" s="61"/>
      <c r="H27" s="28"/>
      <c r="I27" s="4"/>
      <c r="J27" s="4"/>
      <c r="K27" s="4"/>
      <c r="L27" s="4"/>
      <c r="M27" s="4"/>
    </row>
    <row r="28" ht="15.75" customHeight="1">
      <c r="A28" s="4"/>
      <c r="B28" s="62"/>
      <c r="C28" s="62"/>
      <c r="D28" s="62"/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6"/>
      <c r="B32" s="4"/>
      <c r="C32" s="4"/>
      <c r="D32" s="4"/>
      <c r="E32" s="6"/>
      <c r="F32" s="6"/>
      <c r="G32" s="6"/>
      <c r="H32" s="4"/>
      <c r="I32" s="4"/>
      <c r="J32" s="4"/>
      <c r="K32" s="4"/>
      <c r="L32" s="4"/>
      <c r="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6"/>
      <c r="B36" s="28"/>
      <c r="C36" s="28"/>
      <c r="D36" s="28"/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80000.0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74">
        <v>36135.0</v>
      </c>
      <c r="I4" s="75"/>
    </row>
    <row r="5" ht="15.75" customHeight="1">
      <c r="A5" s="12" t="s">
        <v>4</v>
      </c>
      <c r="B5" s="9"/>
      <c r="C5" s="9"/>
      <c r="D5" s="9"/>
      <c r="E5" s="9"/>
      <c r="F5" s="9"/>
      <c r="G5" s="9"/>
      <c r="H5" s="76">
        <f>H4/H2</f>
        <v>0.4516875</v>
      </c>
      <c r="I5" s="77"/>
    </row>
    <row r="6" ht="15.75" customHeight="1">
      <c r="H6" s="15"/>
    </row>
    <row r="7" ht="15.75" customHeight="1">
      <c r="A7" s="16" t="s">
        <v>5</v>
      </c>
      <c r="B7" s="16"/>
      <c r="C7" s="16"/>
      <c r="D7" s="16"/>
      <c r="E7" s="16"/>
      <c r="F7" s="16"/>
      <c r="G7" s="16"/>
      <c r="H7" s="17">
        <v>0.0</v>
      </c>
    </row>
    <row r="8" ht="15.75" customHeight="1">
      <c r="A8" s="19" t="s">
        <v>4</v>
      </c>
      <c r="B8" s="16"/>
      <c r="C8" s="16"/>
      <c r="D8" s="16"/>
      <c r="E8" s="16"/>
      <c r="F8" s="16"/>
      <c r="G8" s="16"/>
      <c r="H8" s="20">
        <f>H7/H2</f>
        <v>0</v>
      </c>
    </row>
    <row r="9" ht="15.75" customHeight="1">
      <c r="A9" s="16"/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16"/>
      <c r="K9" s="22"/>
      <c r="L9" s="22"/>
      <c r="M9" s="22"/>
      <c r="N9" s="22"/>
      <c r="O9" s="22"/>
      <c r="P9" s="22"/>
      <c r="Q9" s="22"/>
    </row>
    <row r="10" ht="15.75" customHeight="1">
      <c r="A10" s="23" t="s">
        <v>12</v>
      </c>
      <c r="B10" s="24">
        <v>0.0</v>
      </c>
      <c r="C10" s="23">
        <v>2000.0</v>
      </c>
      <c r="D10" s="25"/>
      <c r="E10" s="25"/>
      <c r="F10" s="25"/>
      <c r="G10" s="25"/>
      <c r="H10" s="25">
        <f>B10*C10</f>
        <v>0</v>
      </c>
      <c r="K10" s="22"/>
      <c r="L10" s="22"/>
      <c r="M10" s="22"/>
      <c r="N10" s="22"/>
      <c r="O10" s="22"/>
      <c r="P10" s="22"/>
      <c r="Q10" s="22"/>
    </row>
    <row r="11" ht="15.75" customHeight="1">
      <c r="A11" s="23" t="s">
        <v>13</v>
      </c>
      <c r="B11" s="25"/>
      <c r="C11" s="25"/>
      <c r="D11" s="23" t="s">
        <v>14</v>
      </c>
      <c r="E11" s="26">
        <f t="shared" ref="E11:E13" si="1">F11*0.25</f>
        <v>0</v>
      </c>
      <c r="F11" s="26">
        <f t="shared" ref="F11:F12" si="2">sum(1000*H11)/G11*0.85</f>
        <v>0</v>
      </c>
      <c r="G11" s="27">
        <v>20.0</v>
      </c>
      <c r="H11" s="78">
        <v>0.0</v>
      </c>
      <c r="K11" s="22"/>
      <c r="L11" s="22"/>
      <c r="M11" s="22"/>
      <c r="N11" s="22"/>
      <c r="O11" s="22"/>
      <c r="P11" s="22"/>
      <c r="Q11" s="22"/>
    </row>
    <row r="12" ht="15.75" customHeight="1">
      <c r="A12" s="23" t="s">
        <v>15</v>
      </c>
      <c r="B12" s="25"/>
      <c r="C12" s="25"/>
      <c r="D12" s="23" t="s">
        <v>14</v>
      </c>
      <c r="E12" s="26">
        <f t="shared" si="1"/>
        <v>0</v>
      </c>
      <c r="F12" s="26">
        <f t="shared" si="2"/>
        <v>0</v>
      </c>
      <c r="G12" s="27">
        <v>15.0</v>
      </c>
      <c r="H12" s="78">
        <v>0.0</v>
      </c>
      <c r="I12" s="29"/>
      <c r="K12" s="22"/>
      <c r="L12" s="22"/>
      <c r="M12" s="22"/>
      <c r="N12" s="22"/>
      <c r="O12" s="22"/>
      <c r="P12" s="22"/>
      <c r="Q12" s="22"/>
    </row>
    <row r="13" ht="15.75" customHeight="1">
      <c r="A13" s="16" t="s">
        <v>16</v>
      </c>
      <c r="B13" s="16"/>
      <c r="C13" s="16"/>
      <c r="D13" s="16"/>
      <c r="E13" s="30">
        <f t="shared" si="1"/>
        <v>0</v>
      </c>
      <c r="F13" s="31">
        <f>sum(F10:F12)/1000</f>
        <v>0</v>
      </c>
      <c r="G13" s="32"/>
      <c r="H13" s="33">
        <f>sum(H10:H12)</f>
        <v>0</v>
      </c>
      <c r="I13" s="34"/>
      <c r="K13" s="22"/>
      <c r="L13" s="22"/>
      <c r="M13" s="22"/>
      <c r="N13" s="22"/>
      <c r="O13" s="22"/>
      <c r="P13" s="22"/>
      <c r="Q13" s="22"/>
    </row>
    <row r="14" ht="15.75" customHeight="1">
      <c r="A14" s="21" t="s">
        <v>4</v>
      </c>
      <c r="B14" s="16"/>
      <c r="C14" s="16"/>
      <c r="D14" s="16"/>
      <c r="E14" s="35"/>
      <c r="F14" s="36"/>
      <c r="G14" s="32"/>
      <c r="H14" s="37">
        <f>H13/H2</f>
        <v>0</v>
      </c>
      <c r="I14" s="34"/>
      <c r="K14" s="22"/>
      <c r="L14" s="22"/>
      <c r="M14" s="22"/>
      <c r="N14" s="22"/>
      <c r="O14" s="22"/>
      <c r="P14" s="22"/>
      <c r="Q14" s="22"/>
    </row>
    <row r="15" ht="15.75" customHeight="1">
      <c r="I15" s="22"/>
      <c r="K15" s="22"/>
      <c r="L15" s="22"/>
      <c r="M15" s="22"/>
      <c r="N15" s="22"/>
      <c r="O15" s="22"/>
      <c r="P15" s="22"/>
      <c r="Q15" s="22"/>
    </row>
    <row r="16" ht="15.75" customHeight="1">
      <c r="A16" s="38" t="s">
        <v>17</v>
      </c>
      <c r="B16" s="38"/>
      <c r="C16" s="38"/>
      <c r="D16" s="38"/>
      <c r="E16" s="38"/>
      <c r="F16" s="38"/>
      <c r="G16" s="38"/>
      <c r="H16" s="38"/>
      <c r="I16" s="39"/>
      <c r="K16" s="22"/>
      <c r="L16" s="22"/>
      <c r="M16" s="22"/>
      <c r="N16" s="22"/>
      <c r="O16" s="22"/>
      <c r="P16" s="22"/>
      <c r="Q16" s="22"/>
    </row>
    <row r="17" ht="15.75" customHeight="1">
      <c r="A17" s="41" t="s">
        <v>18</v>
      </c>
      <c r="B17" s="41" t="s">
        <v>19</v>
      </c>
      <c r="C17" s="41" t="s">
        <v>20</v>
      </c>
      <c r="D17" s="41" t="s">
        <v>21</v>
      </c>
      <c r="E17" s="41" t="s">
        <v>9</v>
      </c>
      <c r="F17" s="41" t="s">
        <v>22</v>
      </c>
      <c r="G17" s="41" t="s">
        <v>23</v>
      </c>
      <c r="H17" s="79" t="s">
        <v>24</v>
      </c>
      <c r="I17" s="68" t="s">
        <v>25</v>
      </c>
      <c r="K17" s="43" t="s">
        <v>26</v>
      </c>
      <c r="L17" s="44" t="s">
        <v>27</v>
      </c>
      <c r="M17" s="44" t="s">
        <v>28</v>
      </c>
      <c r="N17" s="43" t="s">
        <v>29</v>
      </c>
      <c r="O17" s="45" t="s">
        <v>39</v>
      </c>
      <c r="P17" s="40" t="s">
        <v>31</v>
      </c>
      <c r="Q17" s="22"/>
    </row>
    <row r="18" ht="15.75" customHeight="1">
      <c r="A18" s="46" t="s">
        <v>32</v>
      </c>
      <c r="B18" s="24">
        <v>35.0</v>
      </c>
      <c r="C18" s="24">
        <v>1.0</v>
      </c>
      <c r="D18" s="40" t="s">
        <v>40</v>
      </c>
      <c r="E18" s="25">
        <f t="shared" ref="E18:E20" si="3">F18*0.6</f>
        <v>18</v>
      </c>
      <c r="F18" s="23">
        <f>MROUND(B18*0.8,5)</f>
        <v>30</v>
      </c>
      <c r="G18" s="24">
        <f>MROUND(410*1.15,5)</f>
        <v>470</v>
      </c>
      <c r="H18" s="80">
        <f t="shared" ref="H18:H20" si="4">F18*G18</f>
        <v>14100</v>
      </c>
      <c r="I18" s="70">
        <f t="shared" ref="I18:I20" si="5">M18+O18</f>
        <v>15510</v>
      </c>
      <c r="K18" s="48">
        <f t="shared" ref="K18:K20" si="6">H18</f>
        <v>14100</v>
      </c>
      <c r="L18" s="49">
        <v>0.2</v>
      </c>
      <c r="M18" s="50">
        <f t="shared" ref="M18:M20" si="7">H18*0.8</f>
        <v>11280</v>
      </c>
      <c r="N18" s="18">
        <f t="shared" ref="N18:N20" si="8">H18-M18</f>
        <v>2820</v>
      </c>
      <c r="O18" s="51">
        <f t="shared" ref="O18:O20" si="9">N18*1.5</f>
        <v>4230</v>
      </c>
      <c r="P18" s="52">
        <f t="shared" ref="P18:P20" si="10">I18/H18</f>
        <v>1.1</v>
      </c>
      <c r="Q18" s="22"/>
    </row>
    <row r="19" ht="15.75" customHeight="1">
      <c r="A19" s="46" t="s">
        <v>34</v>
      </c>
      <c r="B19" s="24">
        <v>15.0</v>
      </c>
      <c r="C19" s="24">
        <v>1.0</v>
      </c>
      <c r="D19" s="40" t="s">
        <v>40</v>
      </c>
      <c r="E19" s="25">
        <f t="shared" si="3"/>
        <v>6</v>
      </c>
      <c r="F19" s="23">
        <f t="shared" ref="F19:F20" si="11">MROUND(B19*0.7,5)</f>
        <v>10</v>
      </c>
      <c r="G19" s="24">
        <f t="shared" ref="G19:G20" si="12">MROUND(545*1.15,5)</f>
        <v>625</v>
      </c>
      <c r="H19" s="80">
        <f t="shared" si="4"/>
        <v>6250</v>
      </c>
      <c r="I19" s="70">
        <f t="shared" si="5"/>
        <v>6875</v>
      </c>
      <c r="K19" s="48">
        <f t="shared" si="6"/>
        <v>6250</v>
      </c>
      <c r="L19" s="49">
        <v>0.2</v>
      </c>
      <c r="M19" s="50">
        <f t="shared" si="7"/>
        <v>5000</v>
      </c>
      <c r="N19" s="18">
        <f t="shared" si="8"/>
        <v>1250</v>
      </c>
      <c r="O19" s="51">
        <f t="shared" si="9"/>
        <v>1875</v>
      </c>
      <c r="P19" s="52">
        <f t="shared" si="10"/>
        <v>1.1</v>
      </c>
      <c r="Q19" s="22"/>
    </row>
    <row r="20" ht="15.75" customHeight="1">
      <c r="A20" s="46" t="s">
        <v>34</v>
      </c>
      <c r="B20" s="24">
        <v>35.0</v>
      </c>
      <c r="C20" s="24">
        <v>1.0</v>
      </c>
      <c r="D20" s="40" t="s">
        <v>40</v>
      </c>
      <c r="E20" s="25">
        <f t="shared" si="3"/>
        <v>15</v>
      </c>
      <c r="F20" s="23">
        <f t="shared" si="11"/>
        <v>25</v>
      </c>
      <c r="G20" s="24">
        <f t="shared" si="12"/>
        <v>625</v>
      </c>
      <c r="H20" s="80">
        <f t="shared" si="4"/>
        <v>15625</v>
      </c>
      <c r="I20" s="70">
        <f t="shared" si="5"/>
        <v>17187.5</v>
      </c>
      <c r="K20" s="48">
        <f t="shared" si="6"/>
        <v>15625</v>
      </c>
      <c r="L20" s="49">
        <v>0.2</v>
      </c>
      <c r="M20" s="50">
        <f t="shared" si="7"/>
        <v>12500</v>
      </c>
      <c r="N20" s="18">
        <f t="shared" si="8"/>
        <v>3125</v>
      </c>
      <c r="O20" s="51">
        <f t="shared" si="9"/>
        <v>4687.5</v>
      </c>
      <c r="P20" s="52">
        <f t="shared" si="10"/>
        <v>1.1</v>
      </c>
      <c r="Q20" s="22"/>
    </row>
    <row r="21" ht="15.75" customHeight="1">
      <c r="A21" s="38" t="s">
        <v>16</v>
      </c>
      <c r="B21" s="38"/>
      <c r="C21" s="38">
        <f>SUM(C18:C20)</f>
        <v>3</v>
      </c>
      <c r="D21" s="38"/>
      <c r="E21" s="38">
        <f>sum(E18:E20)</f>
        <v>39</v>
      </c>
      <c r="F21" s="38">
        <f>SUM(F18:F20)</f>
        <v>65</v>
      </c>
      <c r="G21" s="38"/>
      <c r="H21" s="81">
        <f>sum(H18:H20)</f>
        <v>35975</v>
      </c>
      <c r="I21" s="82">
        <f>SUM(I18:I20)</f>
        <v>39572.5</v>
      </c>
      <c r="J21" s="83" t="s">
        <v>35</v>
      </c>
      <c r="K21" s="34"/>
      <c r="L21" s="34"/>
      <c r="M21" s="22"/>
      <c r="N21" s="22"/>
      <c r="O21" s="22"/>
      <c r="P21" s="22"/>
      <c r="Q21" s="22"/>
    </row>
    <row r="22" ht="15.75" customHeight="1">
      <c r="A22" s="18">
        <f>COUNTA(A18:A20)</f>
        <v>3</v>
      </c>
      <c r="H22" s="84">
        <f>J22*0.925</f>
        <v>40575.125</v>
      </c>
      <c r="J22" s="85">
        <f>H2-H4-H7</f>
        <v>43865</v>
      </c>
      <c r="K22" s="34"/>
      <c r="L22" s="34"/>
      <c r="M22" s="22"/>
      <c r="N22" s="22"/>
      <c r="O22" s="22"/>
      <c r="P22" s="22"/>
      <c r="Q22" s="22"/>
    </row>
    <row r="23" ht="15.75" customHeight="1">
      <c r="G23" s="55" t="s">
        <v>36</v>
      </c>
      <c r="H23" s="56">
        <f>ROUNDUP(H22-H21,0)</f>
        <v>4601</v>
      </c>
      <c r="I23" s="73">
        <f>H22-I21</f>
        <v>1002.625</v>
      </c>
      <c r="J23" s="4"/>
      <c r="K23" s="4"/>
      <c r="L23" s="4"/>
    </row>
    <row r="24" ht="15.75" customHeight="1">
      <c r="A24" s="57" t="s">
        <v>37</v>
      </c>
      <c r="B24" s="57"/>
      <c r="C24" s="57"/>
      <c r="D24" s="57"/>
      <c r="E24" s="57"/>
      <c r="F24" s="58"/>
      <c r="G24" s="58"/>
      <c r="H24" s="59"/>
      <c r="J24" s="4"/>
      <c r="K24" s="4"/>
      <c r="L24" s="4"/>
    </row>
    <row r="25" ht="15.75" customHeight="1">
      <c r="A25" s="57"/>
      <c r="B25" s="57"/>
      <c r="C25" s="57"/>
      <c r="D25" s="57"/>
      <c r="E25" s="58" t="s">
        <v>9</v>
      </c>
      <c r="F25" s="58" t="s">
        <v>10</v>
      </c>
      <c r="G25" s="58" t="s">
        <v>38</v>
      </c>
      <c r="H25" s="59"/>
      <c r="J25" s="4"/>
      <c r="K25" s="4"/>
      <c r="L25" s="4"/>
    </row>
    <row r="26" ht="15.75" customHeight="1">
      <c r="A26" s="57"/>
      <c r="B26" s="57"/>
      <c r="C26" s="57"/>
      <c r="D26" s="57"/>
      <c r="E26" s="57">
        <f t="shared" ref="E26:F26" si="13">(E13+E21)*1000</f>
        <v>39000</v>
      </c>
      <c r="F26" s="60">
        <f t="shared" si="13"/>
        <v>65000</v>
      </c>
      <c r="G26" s="60">
        <f>(H2/F26)*1000</f>
        <v>1230.769231</v>
      </c>
      <c r="H26" s="59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61"/>
      <c r="H27" s="28"/>
      <c r="I27" s="4"/>
      <c r="J27" s="4"/>
      <c r="K27" s="4"/>
      <c r="L27" s="4"/>
    </row>
    <row r="28" ht="15.75" customHeight="1">
      <c r="A28" s="4"/>
      <c r="B28" s="62"/>
      <c r="C28" s="62"/>
      <c r="D28" s="62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6"/>
      <c r="B32" s="4"/>
      <c r="C32" s="4"/>
      <c r="D32" s="4"/>
      <c r="E32" s="6"/>
      <c r="F32" s="6"/>
      <c r="G32" s="6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28"/>
      <c r="C36" s="28"/>
      <c r="D36" s="28"/>
      <c r="E36" s="4"/>
      <c r="F36" s="4"/>
      <c r="G36" s="4"/>
      <c r="H36" s="4"/>
      <c r="I36" s="4"/>
      <c r="J36" s="4"/>
      <c r="K36" s="4"/>
      <c r="L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80000.0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36135.0</v>
      </c>
      <c r="I4" s="64">
        <f>H4+I23</f>
        <v>34662.625</v>
      </c>
    </row>
    <row r="5" ht="15.75" customHeight="1">
      <c r="A5" s="12" t="s">
        <v>4</v>
      </c>
      <c r="B5" s="9"/>
      <c r="C5" s="9"/>
      <c r="D5" s="9"/>
      <c r="E5" s="9"/>
      <c r="F5" s="9"/>
      <c r="G5" s="9"/>
      <c r="H5" s="13">
        <f>H4/H2</f>
        <v>0.4516875</v>
      </c>
      <c r="I5" s="66">
        <f>I4/H2</f>
        <v>0.4332828125</v>
      </c>
    </row>
    <row r="6" ht="15.75" customHeight="1">
      <c r="H6" s="15"/>
    </row>
    <row r="7" ht="15.75" customHeight="1">
      <c r="A7" s="16" t="s">
        <v>5</v>
      </c>
      <c r="B7" s="16"/>
      <c r="C7" s="16"/>
      <c r="D7" s="16"/>
      <c r="E7" s="16"/>
      <c r="F7" s="16"/>
      <c r="G7" s="16"/>
      <c r="H7" s="17">
        <v>0.0</v>
      </c>
    </row>
    <row r="8" ht="15.75" customHeight="1">
      <c r="A8" s="19" t="s">
        <v>4</v>
      </c>
      <c r="B8" s="16"/>
      <c r="C8" s="16"/>
      <c r="D8" s="16"/>
      <c r="E8" s="16"/>
      <c r="F8" s="16"/>
      <c r="G8" s="16"/>
      <c r="H8" s="20">
        <f>H7/H2</f>
        <v>0</v>
      </c>
    </row>
    <row r="9" ht="15.75" customHeight="1">
      <c r="A9" s="16"/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16"/>
      <c r="K9" s="22"/>
      <c r="L9" s="22"/>
      <c r="M9" s="22"/>
      <c r="N9" s="22"/>
      <c r="O9" s="22"/>
      <c r="P9" s="22"/>
      <c r="Q9" s="22"/>
    </row>
    <row r="10" ht="15.75" customHeight="1">
      <c r="A10" s="23" t="s">
        <v>12</v>
      </c>
      <c r="B10" s="24">
        <v>0.0</v>
      </c>
      <c r="C10" s="23">
        <v>2000.0</v>
      </c>
      <c r="D10" s="25"/>
      <c r="E10" s="25"/>
      <c r="F10" s="25"/>
      <c r="G10" s="25"/>
      <c r="H10" s="25">
        <f>B10*C10</f>
        <v>0</v>
      </c>
      <c r="K10" s="22"/>
      <c r="L10" s="22"/>
      <c r="M10" s="22"/>
      <c r="N10" s="22"/>
      <c r="O10" s="22"/>
      <c r="P10" s="22"/>
      <c r="Q10" s="22"/>
    </row>
    <row r="11" ht="15.75" customHeight="1">
      <c r="A11" s="23" t="s">
        <v>13</v>
      </c>
      <c r="B11" s="25"/>
      <c r="C11" s="25"/>
      <c r="D11" s="23" t="s">
        <v>14</v>
      </c>
      <c r="E11" s="26">
        <f t="shared" ref="E11:E13" si="1">F11*0.25</f>
        <v>0</v>
      </c>
      <c r="F11" s="26">
        <f t="shared" ref="F11:F12" si="2">sum(1000*H11)/G11*0.85</f>
        <v>0</v>
      </c>
      <c r="G11" s="27">
        <v>20.0</v>
      </c>
      <c r="H11" s="28">
        <f>(H7-H10)*0.3</f>
        <v>0</v>
      </c>
      <c r="I11" s="86">
        <v>0.3</v>
      </c>
      <c r="K11" s="22"/>
      <c r="L11" s="22"/>
      <c r="M11" s="22"/>
      <c r="N11" s="22"/>
      <c r="O11" s="22"/>
      <c r="P11" s="22"/>
      <c r="Q11" s="22"/>
    </row>
    <row r="12" ht="15.75" customHeight="1">
      <c r="A12" s="23" t="s">
        <v>15</v>
      </c>
      <c r="B12" s="25"/>
      <c r="C12" s="25"/>
      <c r="D12" s="23" t="s">
        <v>14</v>
      </c>
      <c r="E12" s="26">
        <f t="shared" si="1"/>
        <v>0</v>
      </c>
      <c r="F12" s="26">
        <f t="shared" si="2"/>
        <v>0</v>
      </c>
      <c r="G12" s="27">
        <v>15.0</v>
      </c>
      <c r="H12" s="28">
        <f>(H7-H10)*0.7</f>
        <v>0</v>
      </c>
      <c r="I12" s="87">
        <v>0.7</v>
      </c>
      <c r="K12" s="22"/>
      <c r="L12" s="22"/>
      <c r="M12" s="22"/>
      <c r="N12" s="22"/>
      <c r="O12" s="22"/>
      <c r="P12" s="22"/>
      <c r="Q12" s="22"/>
    </row>
    <row r="13" ht="15.75" customHeight="1">
      <c r="A13" s="16" t="s">
        <v>16</v>
      </c>
      <c r="B13" s="16"/>
      <c r="C13" s="16"/>
      <c r="D13" s="16"/>
      <c r="E13" s="30">
        <f t="shared" si="1"/>
        <v>0</v>
      </c>
      <c r="F13" s="31">
        <f>sum(F10:F12)/1000</f>
        <v>0</v>
      </c>
      <c r="G13" s="32"/>
      <c r="H13" s="33">
        <f>sum(H10:H12)</f>
        <v>0</v>
      </c>
      <c r="I13" s="34"/>
      <c r="K13" s="22"/>
      <c r="L13" s="22"/>
      <c r="M13" s="22"/>
      <c r="N13" s="22"/>
      <c r="O13" s="22"/>
      <c r="P13" s="22"/>
      <c r="Q13" s="22"/>
    </row>
    <row r="14" ht="15.75" customHeight="1">
      <c r="A14" s="21" t="s">
        <v>4</v>
      </c>
      <c r="B14" s="16"/>
      <c r="C14" s="16"/>
      <c r="D14" s="16"/>
      <c r="E14" s="35"/>
      <c r="F14" s="36"/>
      <c r="G14" s="32"/>
      <c r="H14" s="37">
        <f>H13/H2</f>
        <v>0</v>
      </c>
      <c r="I14" s="34"/>
      <c r="K14" s="22"/>
      <c r="L14" s="22"/>
      <c r="M14" s="22"/>
      <c r="N14" s="22"/>
      <c r="O14" s="22"/>
      <c r="P14" s="22"/>
      <c r="Q14" s="22"/>
    </row>
    <row r="15" ht="15.75" customHeight="1">
      <c r="I15" s="22"/>
      <c r="K15" s="22"/>
      <c r="L15" s="22"/>
      <c r="M15" s="22"/>
      <c r="N15" s="22"/>
      <c r="O15" s="22"/>
      <c r="P15" s="22"/>
      <c r="Q15" s="22"/>
    </row>
    <row r="16" ht="15.75" customHeight="1">
      <c r="A16" s="38" t="s">
        <v>17</v>
      </c>
      <c r="B16" s="38"/>
      <c r="C16" s="38"/>
      <c r="D16" s="38"/>
      <c r="E16" s="38"/>
      <c r="F16" s="38"/>
      <c r="G16" s="38"/>
      <c r="H16" s="38"/>
      <c r="I16" s="39"/>
      <c r="K16" s="22"/>
      <c r="L16" s="22"/>
      <c r="M16" s="22"/>
      <c r="N16" s="22"/>
      <c r="O16" s="22"/>
      <c r="P16" s="22"/>
      <c r="Q16" s="22"/>
    </row>
    <row r="17" ht="15.75" customHeight="1">
      <c r="A17" s="41" t="s">
        <v>18</v>
      </c>
      <c r="B17" s="41" t="s">
        <v>19</v>
      </c>
      <c r="C17" s="41" t="s">
        <v>20</v>
      </c>
      <c r="D17" s="41" t="s">
        <v>21</v>
      </c>
      <c r="E17" s="41" t="s">
        <v>9</v>
      </c>
      <c r="F17" s="41" t="s">
        <v>22</v>
      </c>
      <c r="G17" s="41" t="s">
        <v>23</v>
      </c>
      <c r="H17" s="41" t="s">
        <v>24</v>
      </c>
      <c r="I17" s="68" t="s">
        <v>25</v>
      </c>
      <c r="K17" s="43" t="s">
        <v>26</v>
      </c>
      <c r="L17" s="44" t="s">
        <v>27</v>
      </c>
      <c r="M17" s="44" t="s">
        <v>28</v>
      </c>
      <c r="N17" s="43" t="s">
        <v>29</v>
      </c>
      <c r="O17" s="45" t="s">
        <v>39</v>
      </c>
      <c r="P17" s="40" t="s">
        <v>31</v>
      </c>
      <c r="Q17" s="22"/>
    </row>
    <row r="18" ht="15.75" customHeight="1">
      <c r="A18" s="46" t="s">
        <v>32</v>
      </c>
      <c r="B18" s="24">
        <v>35.0</v>
      </c>
      <c r="C18" s="24">
        <v>1.0</v>
      </c>
      <c r="D18" s="40" t="s">
        <v>40</v>
      </c>
      <c r="E18" s="25">
        <f t="shared" ref="E18:E20" si="3">F18*0.6</f>
        <v>18</v>
      </c>
      <c r="F18" s="23">
        <f t="shared" ref="F18:F19" si="4">MROUND(B18*0.8,5)</f>
        <v>30</v>
      </c>
      <c r="G18" s="24">
        <v>410.0</v>
      </c>
      <c r="H18" s="25">
        <f t="shared" ref="H18:H20" si="5">F18*G18</f>
        <v>12300</v>
      </c>
      <c r="I18" s="70">
        <f t="shared" ref="I18:I20" si="6">M18+O18</f>
        <v>13530</v>
      </c>
      <c r="K18" s="48">
        <f t="shared" ref="K18:K20" si="7">H18</f>
        <v>12300</v>
      </c>
      <c r="L18" s="49">
        <v>0.2</v>
      </c>
      <c r="M18" s="50">
        <f t="shared" ref="M18:M20" si="8">H18*0.8</f>
        <v>9840</v>
      </c>
      <c r="N18" s="18">
        <f t="shared" ref="N18:N20" si="9">H18-M18</f>
        <v>2460</v>
      </c>
      <c r="O18" s="51">
        <f t="shared" ref="O18:O20" si="10">N18*1.5</f>
        <v>3690</v>
      </c>
      <c r="P18" s="52">
        <f t="shared" ref="P18:P20" si="11">I18/H18</f>
        <v>1.1</v>
      </c>
      <c r="Q18" s="22"/>
    </row>
    <row r="19" ht="15.75" customHeight="1">
      <c r="A19" s="46" t="s">
        <v>32</v>
      </c>
      <c r="B19" s="24">
        <v>35.0</v>
      </c>
      <c r="C19" s="24">
        <v>1.0</v>
      </c>
      <c r="D19" s="40" t="s">
        <v>40</v>
      </c>
      <c r="E19" s="25">
        <f t="shared" si="3"/>
        <v>18</v>
      </c>
      <c r="F19" s="23">
        <f t="shared" si="4"/>
        <v>30</v>
      </c>
      <c r="G19" s="24">
        <v>410.0</v>
      </c>
      <c r="H19" s="25">
        <f t="shared" si="5"/>
        <v>12300</v>
      </c>
      <c r="I19" s="70">
        <f t="shared" si="6"/>
        <v>13530</v>
      </c>
      <c r="K19" s="48">
        <f t="shared" si="7"/>
        <v>12300</v>
      </c>
      <c r="L19" s="49">
        <v>0.2</v>
      </c>
      <c r="M19" s="50">
        <f t="shared" si="8"/>
        <v>9840</v>
      </c>
      <c r="N19" s="18">
        <f t="shared" si="9"/>
        <v>2460</v>
      </c>
      <c r="O19" s="51">
        <f t="shared" si="10"/>
        <v>3690</v>
      </c>
      <c r="P19" s="52">
        <f t="shared" si="11"/>
        <v>1.1</v>
      </c>
      <c r="Q19" s="22"/>
    </row>
    <row r="20" ht="15.75" customHeight="1">
      <c r="A20" s="46" t="s">
        <v>34</v>
      </c>
      <c r="B20" s="24">
        <v>35.0</v>
      </c>
      <c r="C20" s="24">
        <v>1.0</v>
      </c>
      <c r="D20" s="40" t="s">
        <v>40</v>
      </c>
      <c r="E20" s="25">
        <f t="shared" si="3"/>
        <v>15</v>
      </c>
      <c r="F20" s="23">
        <f>MROUND(B20*0.7,5)</f>
        <v>25</v>
      </c>
      <c r="G20" s="24">
        <v>545.0</v>
      </c>
      <c r="H20" s="25">
        <f t="shared" si="5"/>
        <v>13625</v>
      </c>
      <c r="I20" s="70">
        <f t="shared" si="6"/>
        <v>14987.5</v>
      </c>
      <c r="J20" s="4"/>
      <c r="K20" s="48">
        <f t="shared" si="7"/>
        <v>13625</v>
      </c>
      <c r="L20" s="49">
        <v>0.2</v>
      </c>
      <c r="M20" s="50">
        <f t="shared" si="8"/>
        <v>10900</v>
      </c>
      <c r="N20" s="18">
        <f t="shared" si="9"/>
        <v>2725</v>
      </c>
      <c r="O20" s="51">
        <f t="shared" si="10"/>
        <v>4087.5</v>
      </c>
      <c r="P20" s="52">
        <f t="shared" si="11"/>
        <v>1.1</v>
      </c>
      <c r="Q20" s="22"/>
    </row>
    <row r="21" ht="15.75" customHeight="1">
      <c r="A21" s="38" t="s">
        <v>16</v>
      </c>
      <c r="B21" s="38"/>
      <c r="C21" s="38"/>
      <c r="D21" s="38"/>
      <c r="E21" s="38">
        <f>sum(E18:E20)</f>
        <v>51</v>
      </c>
      <c r="F21" s="38">
        <f>SUM(F18:F20)</f>
        <v>85</v>
      </c>
      <c r="G21" s="38"/>
      <c r="H21" s="38">
        <f>sum(H18:H20)</f>
        <v>38225</v>
      </c>
      <c r="I21" s="82">
        <f>SUM(I18:I20)</f>
        <v>42047.5</v>
      </c>
      <c r="J21" s="83" t="s">
        <v>35</v>
      </c>
      <c r="K21" s="34"/>
      <c r="L21" s="34"/>
      <c r="M21" s="22"/>
      <c r="N21" s="22"/>
      <c r="O21" s="22"/>
      <c r="P21" s="22"/>
      <c r="Q21" s="22"/>
    </row>
    <row r="22" ht="15.75" customHeight="1">
      <c r="A22" s="18">
        <f>COUNTA(A18:A20)</f>
        <v>3</v>
      </c>
      <c r="H22" s="54">
        <f>J22*0.925</f>
        <v>40575.125</v>
      </c>
      <c r="J22" s="85">
        <f>H2-H4-H7</f>
        <v>43865</v>
      </c>
      <c r="K22" s="34"/>
      <c r="L22" s="34"/>
      <c r="M22" s="22"/>
      <c r="N22" s="22"/>
      <c r="O22" s="22"/>
      <c r="P22" s="22"/>
      <c r="Q22" s="22"/>
    </row>
    <row r="23" ht="15.75" customHeight="1">
      <c r="G23" s="55" t="s">
        <v>36</v>
      </c>
      <c r="H23" s="56">
        <f>ROUNDUP(H22-H21,0)</f>
        <v>2351</v>
      </c>
      <c r="I23" s="73">
        <f>H22-I21</f>
        <v>-1472.375</v>
      </c>
      <c r="J23" s="4"/>
      <c r="K23" s="4"/>
      <c r="L23" s="4"/>
    </row>
    <row r="24" ht="15.75" customHeight="1">
      <c r="A24" s="57" t="s">
        <v>37</v>
      </c>
      <c r="B24" s="57"/>
      <c r="C24" s="57"/>
      <c r="D24" s="57"/>
      <c r="E24" s="57"/>
      <c r="F24" s="58"/>
      <c r="G24" s="58"/>
      <c r="H24" s="59"/>
      <c r="J24" s="4"/>
      <c r="K24" s="4"/>
      <c r="L24" s="4"/>
    </row>
    <row r="25" ht="15.75" customHeight="1">
      <c r="A25" s="57"/>
      <c r="B25" s="57"/>
      <c r="C25" s="57"/>
      <c r="D25" s="57"/>
      <c r="E25" s="58" t="s">
        <v>9</v>
      </c>
      <c r="F25" s="58" t="s">
        <v>10</v>
      </c>
      <c r="G25" s="58" t="s">
        <v>38</v>
      </c>
      <c r="H25" s="59"/>
      <c r="J25" s="4"/>
      <c r="K25" s="4"/>
      <c r="L25" s="4"/>
    </row>
    <row r="26" ht="15.75" customHeight="1">
      <c r="A26" s="57"/>
      <c r="B26" s="57"/>
      <c r="C26" s="57"/>
      <c r="D26" s="57"/>
      <c r="E26" s="57">
        <f t="shared" ref="E26:F26" si="12">(E13+E21)*1000</f>
        <v>51000</v>
      </c>
      <c r="F26" s="60">
        <f t="shared" si="12"/>
        <v>85000</v>
      </c>
      <c r="G26" s="60">
        <f>(H2/F26)*1000</f>
        <v>941.1764706</v>
      </c>
      <c r="H26" s="59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61"/>
      <c r="H27" s="28"/>
      <c r="I27" s="4"/>
      <c r="J27" s="4"/>
      <c r="K27" s="4"/>
      <c r="L27" s="4"/>
    </row>
    <row r="28" ht="15.75" customHeight="1">
      <c r="A28" s="4"/>
      <c r="B28" s="62"/>
      <c r="C28" s="62"/>
      <c r="D28" s="62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6"/>
      <c r="B31" s="4"/>
      <c r="C31" s="4"/>
      <c r="D31" s="4"/>
      <c r="E31" s="6"/>
      <c r="F31" s="6"/>
      <c r="G31" s="6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28"/>
      <c r="C35" s="28"/>
      <c r="D35" s="28"/>
      <c r="E35" s="4"/>
      <c r="F35" s="4"/>
      <c r="G35" s="4"/>
      <c r="H35" s="4"/>
      <c r="I35" s="4"/>
      <c r="J35" s="4"/>
      <c r="K35" s="4"/>
      <c r="L35" s="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80000.0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36135.0</v>
      </c>
    </row>
    <row r="5" ht="15.75" customHeight="1">
      <c r="A5" s="12" t="s">
        <v>4</v>
      </c>
      <c r="B5" s="9"/>
      <c r="C5" s="9"/>
      <c r="D5" s="9"/>
      <c r="E5" s="9"/>
      <c r="F5" s="9"/>
      <c r="G5" s="9"/>
      <c r="H5" s="13">
        <f>H4/H2</f>
        <v>0.4516875</v>
      </c>
    </row>
    <row r="6" ht="15.75" customHeight="1">
      <c r="H6" s="15"/>
    </row>
    <row r="7" ht="15.75" customHeight="1">
      <c r="A7" s="16" t="s">
        <v>5</v>
      </c>
      <c r="B7" s="16"/>
      <c r="C7" s="16"/>
      <c r="D7" s="16"/>
      <c r="E7" s="16"/>
      <c r="F7" s="16"/>
      <c r="G7" s="16"/>
      <c r="H7" s="17">
        <v>0.0</v>
      </c>
    </row>
    <row r="8" ht="15.75" customHeight="1">
      <c r="A8" s="19" t="s">
        <v>4</v>
      </c>
      <c r="B8" s="16"/>
      <c r="C8" s="16"/>
      <c r="D8" s="16"/>
      <c r="E8" s="16"/>
      <c r="F8" s="16"/>
      <c r="G8" s="16"/>
      <c r="H8" s="20">
        <f>H7/H2</f>
        <v>0</v>
      </c>
    </row>
    <row r="9" ht="15.75" customHeight="1">
      <c r="A9" s="16"/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16"/>
      <c r="K9" s="22"/>
      <c r="L9" s="22"/>
      <c r="M9" s="22"/>
      <c r="N9" s="22"/>
      <c r="O9" s="22"/>
      <c r="P9" s="22"/>
      <c r="Q9" s="22"/>
    </row>
    <row r="10" ht="15.75" customHeight="1">
      <c r="A10" s="23" t="s">
        <v>12</v>
      </c>
      <c r="B10" s="24">
        <v>0.0</v>
      </c>
      <c r="C10" s="23">
        <v>2000.0</v>
      </c>
      <c r="D10" s="25"/>
      <c r="E10" s="25"/>
      <c r="F10" s="25"/>
      <c r="G10" s="25"/>
      <c r="H10" s="25">
        <f>B10*C10</f>
        <v>0</v>
      </c>
      <c r="K10" s="22"/>
      <c r="L10" s="22"/>
      <c r="M10" s="22"/>
      <c r="N10" s="22"/>
      <c r="O10" s="22"/>
      <c r="P10" s="22"/>
      <c r="Q10" s="22"/>
    </row>
    <row r="11" ht="15.75" customHeight="1">
      <c r="A11" s="23" t="s">
        <v>13</v>
      </c>
      <c r="B11" s="25"/>
      <c r="C11" s="25"/>
      <c r="D11" s="23" t="s">
        <v>14</v>
      </c>
      <c r="E11" s="26">
        <f t="shared" ref="E11:E13" si="1">F11*0.25</f>
        <v>0</v>
      </c>
      <c r="F11" s="26">
        <f t="shared" ref="F11:F12" si="2">sum(1000*H11)/G11*0.85</f>
        <v>0</v>
      </c>
      <c r="G11" s="27">
        <v>20.0</v>
      </c>
      <c r="H11" s="28">
        <f>(H7-H10)*0.3</f>
        <v>0</v>
      </c>
      <c r="K11" s="22"/>
      <c r="L11" s="22"/>
      <c r="M11" s="22"/>
      <c r="N11" s="22"/>
      <c r="O11" s="22"/>
      <c r="P11" s="22"/>
      <c r="Q11" s="22"/>
    </row>
    <row r="12" ht="15.75" customHeight="1">
      <c r="A12" s="23" t="s">
        <v>15</v>
      </c>
      <c r="B12" s="25"/>
      <c r="C12" s="25"/>
      <c r="D12" s="23" t="s">
        <v>14</v>
      </c>
      <c r="E12" s="26">
        <f t="shared" si="1"/>
        <v>0</v>
      </c>
      <c r="F12" s="26">
        <f t="shared" si="2"/>
        <v>0</v>
      </c>
      <c r="G12" s="27">
        <v>15.0</v>
      </c>
      <c r="H12" s="28">
        <f>(H7-H10)*0.7</f>
        <v>0</v>
      </c>
      <c r="I12" s="29"/>
      <c r="K12" s="22"/>
      <c r="L12" s="22"/>
      <c r="M12" s="22"/>
      <c r="N12" s="22"/>
      <c r="O12" s="22"/>
      <c r="P12" s="22"/>
      <c r="Q12" s="22"/>
    </row>
    <row r="13" ht="15.75" customHeight="1">
      <c r="A13" s="16" t="s">
        <v>16</v>
      </c>
      <c r="B13" s="16"/>
      <c r="C13" s="16"/>
      <c r="D13" s="16"/>
      <c r="E13" s="30">
        <f t="shared" si="1"/>
        <v>0</v>
      </c>
      <c r="F13" s="31">
        <f>sum(F10:F12)/1000</f>
        <v>0</v>
      </c>
      <c r="G13" s="32"/>
      <c r="H13" s="33">
        <f>sum(H10:H12)</f>
        <v>0</v>
      </c>
      <c r="I13" s="34"/>
      <c r="K13" s="22"/>
      <c r="L13" s="22"/>
      <c r="M13" s="22"/>
      <c r="N13" s="22"/>
      <c r="O13" s="22"/>
      <c r="P13" s="22"/>
      <c r="Q13" s="22"/>
    </row>
    <row r="14" ht="15.75" customHeight="1">
      <c r="A14" s="21" t="s">
        <v>4</v>
      </c>
      <c r="B14" s="16"/>
      <c r="C14" s="16"/>
      <c r="D14" s="16"/>
      <c r="E14" s="35"/>
      <c r="F14" s="36"/>
      <c r="G14" s="32"/>
      <c r="H14" s="37">
        <f>H13/H2</f>
        <v>0</v>
      </c>
      <c r="I14" s="34"/>
      <c r="K14" s="22"/>
      <c r="L14" s="22"/>
      <c r="M14" s="22"/>
      <c r="N14" s="22"/>
      <c r="O14" s="22"/>
      <c r="P14" s="22"/>
      <c r="Q14" s="22"/>
    </row>
    <row r="15" ht="15.75" customHeight="1">
      <c r="I15" s="22"/>
      <c r="K15" s="22"/>
      <c r="L15" s="22"/>
      <c r="M15" s="22"/>
      <c r="N15" s="22"/>
      <c r="O15" s="22"/>
      <c r="P15" s="22"/>
      <c r="Q15" s="22"/>
    </row>
    <row r="16" ht="15.75" customHeight="1">
      <c r="A16" s="38" t="s">
        <v>17</v>
      </c>
      <c r="B16" s="38"/>
      <c r="C16" s="38"/>
      <c r="D16" s="38"/>
      <c r="E16" s="38"/>
      <c r="F16" s="38"/>
      <c r="G16" s="38"/>
      <c r="H16" s="38"/>
      <c r="I16" s="39"/>
      <c r="K16" s="22"/>
      <c r="L16" s="22"/>
      <c r="M16" s="22"/>
      <c r="N16" s="22"/>
      <c r="O16" s="22"/>
      <c r="P16" s="22"/>
      <c r="Q16" s="22"/>
    </row>
    <row r="17" ht="15.75" customHeight="1">
      <c r="A17" s="41" t="s">
        <v>18</v>
      </c>
      <c r="B17" s="41" t="s">
        <v>19</v>
      </c>
      <c r="C17" s="41" t="s">
        <v>20</v>
      </c>
      <c r="D17" s="41" t="s">
        <v>21</v>
      </c>
      <c r="E17" s="41" t="s">
        <v>9</v>
      </c>
      <c r="F17" s="41" t="s">
        <v>22</v>
      </c>
      <c r="G17" s="41" t="s">
        <v>23</v>
      </c>
      <c r="H17" s="41" t="s">
        <v>24</v>
      </c>
      <c r="I17" s="68" t="s">
        <v>25</v>
      </c>
      <c r="K17" s="43" t="s">
        <v>26</v>
      </c>
      <c r="L17" s="44" t="s">
        <v>27</v>
      </c>
      <c r="M17" s="44" t="s">
        <v>28</v>
      </c>
      <c r="N17" s="43" t="s">
        <v>29</v>
      </c>
      <c r="O17" s="45" t="s">
        <v>39</v>
      </c>
      <c r="P17" s="40" t="s">
        <v>31</v>
      </c>
      <c r="Q17" s="22"/>
    </row>
    <row r="18" ht="15.75" customHeight="1">
      <c r="A18" s="46" t="s">
        <v>32</v>
      </c>
      <c r="B18" s="24">
        <v>15.0</v>
      </c>
      <c r="C18" s="24">
        <v>1.0</v>
      </c>
      <c r="D18" s="40" t="s">
        <v>40</v>
      </c>
      <c r="E18" s="25">
        <f t="shared" ref="E18:E20" si="3">F18*0.6</f>
        <v>6</v>
      </c>
      <c r="F18" s="23">
        <f t="shared" ref="F18:F19" si="4">MROUND(B18*0.8,5)</f>
        <v>10</v>
      </c>
      <c r="G18" s="24">
        <f t="shared" ref="G18:G19" si="5">MROUND(410*1.15,5)</f>
        <v>470</v>
      </c>
      <c r="H18" s="25">
        <f t="shared" ref="H18:H20" si="6">F18*G18</f>
        <v>4700</v>
      </c>
      <c r="I18" s="70">
        <f t="shared" ref="I18:I20" si="7">M18+O18</f>
        <v>5170</v>
      </c>
      <c r="K18" s="48">
        <f t="shared" ref="K18:K20" si="8">H18</f>
        <v>4700</v>
      </c>
      <c r="L18" s="49">
        <v>0.2</v>
      </c>
      <c r="M18" s="50">
        <f t="shared" ref="M18:M20" si="9">H18*0.8</f>
        <v>3760</v>
      </c>
      <c r="N18" s="18">
        <f t="shared" ref="N18:N20" si="10">H18-M18</f>
        <v>940</v>
      </c>
      <c r="O18" s="51">
        <f t="shared" ref="O18:O20" si="11">N18*1.5</f>
        <v>1410</v>
      </c>
      <c r="P18" s="52">
        <f t="shared" ref="P18:P20" si="12">I18/H18</f>
        <v>1.1</v>
      </c>
      <c r="Q18" s="22"/>
    </row>
    <row r="19" ht="15.75" customHeight="1">
      <c r="A19" s="46" t="s">
        <v>32</v>
      </c>
      <c r="B19" s="24">
        <v>35.0</v>
      </c>
      <c r="C19" s="24">
        <v>1.0</v>
      </c>
      <c r="D19" s="40" t="s">
        <v>40</v>
      </c>
      <c r="E19" s="25">
        <f t="shared" si="3"/>
        <v>18</v>
      </c>
      <c r="F19" s="23">
        <f t="shared" si="4"/>
        <v>30</v>
      </c>
      <c r="G19" s="24">
        <f t="shared" si="5"/>
        <v>470</v>
      </c>
      <c r="H19" s="25">
        <f t="shared" si="6"/>
        <v>14100</v>
      </c>
      <c r="I19" s="70">
        <f t="shared" si="7"/>
        <v>15510</v>
      </c>
      <c r="K19" s="48">
        <f t="shared" si="8"/>
        <v>14100</v>
      </c>
      <c r="L19" s="49">
        <v>0.2</v>
      </c>
      <c r="M19" s="50">
        <f t="shared" si="9"/>
        <v>11280</v>
      </c>
      <c r="N19" s="18">
        <f t="shared" si="10"/>
        <v>2820</v>
      </c>
      <c r="O19" s="51">
        <f t="shared" si="11"/>
        <v>4230</v>
      </c>
      <c r="P19" s="52">
        <f t="shared" si="12"/>
        <v>1.1</v>
      </c>
      <c r="Q19" s="22"/>
    </row>
    <row r="20" ht="15.75" customHeight="1">
      <c r="A20" s="46" t="s">
        <v>34</v>
      </c>
      <c r="B20" s="24">
        <v>35.0</v>
      </c>
      <c r="C20" s="24">
        <v>1.0</v>
      </c>
      <c r="D20" s="40" t="s">
        <v>40</v>
      </c>
      <c r="E20" s="25">
        <f t="shared" si="3"/>
        <v>15</v>
      </c>
      <c r="F20" s="23">
        <f>MROUND(B20*0.7,5)</f>
        <v>25</v>
      </c>
      <c r="G20" s="24">
        <f>MROUND(545*1.15,5)</f>
        <v>625</v>
      </c>
      <c r="H20" s="25">
        <f t="shared" si="6"/>
        <v>15625</v>
      </c>
      <c r="I20" s="70">
        <f t="shared" si="7"/>
        <v>17187.5</v>
      </c>
      <c r="J20" s="4"/>
      <c r="K20" s="48">
        <f t="shared" si="8"/>
        <v>15625</v>
      </c>
      <c r="L20" s="49">
        <v>0.2</v>
      </c>
      <c r="M20" s="50">
        <f t="shared" si="9"/>
        <v>12500</v>
      </c>
      <c r="N20" s="18">
        <f t="shared" si="10"/>
        <v>3125</v>
      </c>
      <c r="O20" s="51">
        <f t="shared" si="11"/>
        <v>4687.5</v>
      </c>
      <c r="P20" s="52">
        <f t="shared" si="12"/>
        <v>1.1</v>
      </c>
      <c r="Q20" s="22"/>
    </row>
    <row r="21" ht="15.75" customHeight="1">
      <c r="A21" s="38" t="s">
        <v>16</v>
      </c>
      <c r="B21" s="38"/>
      <c r="C21" s="38"/>
      <c r="D21" s="38"/>
      <c r="E21" s="38">
        <f>sum(E18:E20)</f>
        <v>39</v>
      </c>
      <c r="F21" s="38">
        <f>SUM(F18:F20)</f>
        <v>65</v>
      </c>
      <c r="G21" s="38"/>
      <c r="H21" s="38">
        <f>sum(H18:H20)</f>
        <v>34425</v>
      </c>
      <c r="I21" s="82">
        <f>SUM(I18:I20)</f>
        <v>37867.5</v>
      </c>
      <c r="J21" s="83" t="s">
        <v>35</v>
      </c>
      <c r="K21" s="34"/>
      <c r="L21" s="34"/>
      <c r="M21" s="22"/>
      <c r="N21" s="22"/>
      <c r="O21" s="22"/>
      <c r="P21" s="22"/>
      <c r="Q21" s="22"/>
    </row>
    <row r="22" ht="15.75" customHeight="1">
      <c r="A22" s="18">
        <f>COUNTA(A18:A20)</f>
        <v>3</v>
      </c>
      <c r="H22" s="54">
        <f>J22*0.925</f>
        <v>40575.125</v>
      </c>
      <c r="J22" s="85">
        <f>H2-H4-H7</f>
        <v>43865</v>
      </c>
      <c r="K22" s="34"/>
      <c r="L22" s="34"/>
      <c r="M22" s="22"/>
      <c r="N22" s="22"/>
      <c r="O22" s="22"/>
      <c r="P22" s="22"/>
      <c r="Q22" s="22"/>
    </row>
    <row r="23" ht="15.75" customHeight="1">
      <c r="G23" s="55" t="s">
        <v>36</v>
      </c>
      <c r="H23" s="56">
        <f>ROUNDUP(H22-H21,0)</f>
        <v>6151</v>
      </c>
      <c r="I23" s="73">
        <f>H22-I21</f>
        <v>2707.625</v>
      </c>
      <c r="J23" s="4"/>
      <c r="K23" s="4"/>
      <c r="L23" s="4"/>
    </row>
    <row r="24" ht="15.75" customHeight="1">
      <c r="A24" s="57" t="s">
        <v>37</v>
      </c>
      <c r="B24" s="57"/>
      <c r="C24" s="57"/>
      <c r="D24" s="57"/>
      <c r="E24" s="57"/>
      <c r="F24" s="58"/>
      <c r="G24" s="58"/>
      <c r="H24" s="59"/>
      <c r="J24" s="4"/>
      <c r="K24" s="4"/>
      <c r="L24" s="4"/>
    </row>
    <row r="25" ht="15.75" customHeight="1">
      <c r="A25" s="57"/>
      <c r="B25" s="57"/>
      <c r="C25" s="57"/>
      <c r="D25" s="57"/>
      <c r="E25" s="58" t="s">
        <v>9</v>
      </c>
      <c r="F25" s="58" t="s">
        <v>10</v>
      </c>
      <c r="G25" s="58" t="s">
        <v>38</v>
      </c>
      <c r="H25" s="59"/>
      <c r="J25" s="4"/>
      <c r="K25" s="4"/>
      <c r="L25" s="4"/>
    </row>
    <row r="26" ht="15.75" customHeight="1">
      <c r="A26" s="57"/>
      <c r="B26" s="57"/>
      <c r="C26" s="57"/>
      <c r="D26" s="57"/>
      <c r="E26" s="57">
        <f>(E13+E21)*1000</f>
        <v>39000</v>
      </c>
      <c r="F26" s="60">
        <f>(F13+F21)*1000</f>
        <v>65000</v>
      </c>
      <c r="G26" s="60">
        <f>(H2/F26)*1000</f>
        <v>1230.769231</v>
      </c>
      <c r="H26" s="59"/>
      <c r="J26" s="4"/>
      <c r="K26" s="4"/>
      <c r="L26" s="4"/>
    </row>
    <row r="27" ht="15.75" customHeight="1">
      <c r="A27" s="6"/>
      <c r="B27" s="4"/>
      <c r="C27" s="4"/>
      <c r="D27" s="4"/>
      <c r="E27" s="4"/>
      <c r="F27" s="4"/>
      <c r="G27" s="61"/>
      <c r="H27" s="28"/>
      <c r="I27" s="4"/>
      <c r="J27" s="4"/>
      <c r="K27" s="4"/>
      <c r="L27" s="4"/>
    </row>
    <row r="28" ht="15.75" customHeight="1">
      <c r="A28" s="4"/>
      <c r="B28" s="62"/>
      <c r="C28" s="62"/>
      <c r="D28" s="62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6"/>
      <c r="B31" s="4"/>
      <c r="C31" s="4"/>
      <c r="D31" s="4"/>
      <c r="E31" s="6"/>
      <c r="F31" s="6"/>
      <c r="G31" s="6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6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6"/>
      <c r="B35" s="28"/>
      <c r="C35" s="28"/>
      <c r="D35" s="28"/>
      <c r="E35" s="4"/>
      <c r="F35" s="4"/>
      <c r="G35" s="4"/>
      <c r="H35" s="4"/>
      <c r="I35" s="4"/>
      <c r="J35" s="4"/>
      <c r="K35" s="4"/>
      <c r="L35" s="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drawing r:id="rId1"/>
</worksheet>
</file>