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 ME Kalkylmall Org." sheetId="1" r:id="rId4"/>
    <sheet state="visible" name="CO Kalkylmall Org." sheetId="2" r:id="rId5"/>
    <sheet state="visible" name="ME Kalkylmall Org." sheetId="3" r:id="rId6"/>
    <sheet state="visible" name="ME Kalkylmall Paid + Org + Nepa" sheetId="4" r:id="rId7"/>
    <sheet state="visible" name="ME old Kalkylmall Paid + Org + " sheetId="5" r:id="rId8"/>
    <sheet state="visible" name="Kalkylmall Org." sheetId="6" r:id="rId9"/>
    <sheet state="visible" name="Kalkylmall Paid + Org + Nepa." sheetId="7" r:id="rId10"/>
  </sheets>
  <definedNames/>
  <calcPr/>
  <extLst>
    <ext uri="GoogleSheetsCustomDataVersion2">
      <go:sheetsCustomData xmlns:go="http://customooxmlschemas.google.com/" r:id="rId11" roundtripDataChecksum="nrDxpueHDEYz71FprGcRxgKbOjQLd9AFR1Ht2bqrNlQ="/>
    </ext>
  </extLst>
</workbook>
</file>

<file path=xl/sharedStrings.xml><?xml version="1.0" encoding="utf-8"?>
<sst xmlns="http://schemas.openxmlformats.org/spreadsheetml/2006/main" count="460" uniqueCount="57">
  <si>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</si>
  <si>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</si>
  <si>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</si>
  <si>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</si>
  <si>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</si>
  <si>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</si>
  <si>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</si>
  <si>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</si>
  <si>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</si>
  <si>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</si>
  <si>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</si>
  <si>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</si>
  <si>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</si>
  <si>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</si>
  <si>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Budget</t>
  </si>
  <si>
    <t>Imps</t>
  </si>
  <si>
    <t>Instagram</t>
  </si>
  <si>
    <t>7-30 dagar</t>
  </si>
  <si>
    <t>IG</t>
  </si>
  <si>
    <t>TT</t>
  </si>
  <si>
    <t>S</t>
  </si>
  <si>
    <t>TikTok</t>
  </si>
  <si>
    <t>Snapchat</t>
  </si>
  <si>
    <t>-</t>
  </si>
  <si>
    <t>Total</t>
  </si>
  <si>
    <t>inkl 7,5%</t>
  </si>
  <si>
    <t>(rättigheter på samtliga)</t>
  </si>
  <si>
    <t>TOTAL CAMPAIGN</t>
  </si>
  <si>
    <t>Reach</t>
  </si>
  <si>
    <t>Impressions</t>
  </si>
  <si>
    <t>CPM</t>
  </si>
  <si>
    <t>Paid</t>
  </si>
  <si>
    <t>Antal annonser</t>
  </si>
  <si>
    <t>Pris per annons</t>
  </si>
  <si>
    <t>Målsättning</t>
  </si>
  <si>
    <t>CPM (paid)</t>
  </si>
  <si>
    <t>Media spend Meta</t>
  </si>
  <si>
    <t>Räckvidd</t>
  </si>
  <si>
    <t>Media spend TikTok</t>
  </si>
  <si>
    <t>Media spend Snapchat</t>
  </si>
  <si>
    <t>INKLUSIVE PAID</t>
  </si>
  <si>
    <t>Summa inkl. förmedling</t>
  </si>
  <si>
    <t>(485 000 kr)</t>
  </si>
  <si>
    <t>Fördelning.</t>
  </si>
  <si>
    <t>Budget (SEK)</t>
  </si>
  <si>
    <t>Andel %</t>
  </si>
  <si>
    <t>Imps (K)</t>
  </si>
  <si>
    <t>Paid (Nine hanterar ej)</t>
  </si>
  <si>
    <t xml:space="preserve">(rättigheter på utvalda) </t>
  </si>
  <si>
    <t>Trafik</t>
  </si>
  <si>
    <t>Videovisningar</t>
  </si>
  <si>
    <t>SmartOn/Nine Agency hantering</t>
  </si>
  <si>
    <t>Nepa report</t>
  </si>
  <si>
    <t xml:space="preserve">Kanalfördelning: </t>
  </si>
  <si>
    <t>Summa</t>
  </si>
  <si>
    <t>Actual</t>
  </si>
  <si>
    <t>Left to spend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</si>
</sst>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 ### ### ###"/>
    <numFmt numFmtId="165" formatCode="# ### ##0"/>
    <numFmt numFmtId="166" formatCode="0.0"/>
  </numFmts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i/>
      <color theme="1"/>
      <name val="Arial"/>
    </font>
    <font>
      <b/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b/>
      <color rgb="FF990000"/>
      <name val="Arial"/>
    </font>
    <font>
      <b/>
      <color rgb="FF999999"/>
      <name val="Arial"/>
    </font>
    <font>
      <i/>
      <color rgb="FF999999"/>
      <name val="Arial"/>
    </font>
    <font>
      <color rgb="FF999999"/>
      <name val="Arial"/>
    </font>
    <font>
      <b/>
      <i/>
      <color rgb="FF99999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3" numFmtId="165" xfId="0" applyAlignment="1" applyFont="1" applyNumberFormat="1">
      <alignment horizontal="right" readingOrder="0"/>
    </xf>
    <xf borderId="0" fillId="0" fontId="4" numFmtId="164" xfId="0" applyFont="1" applyNumberFormat="1"/>
    <xf borderId="0" fillId="4" fontId="5" numFmtId="0" xfId="0" applyFont="1"/>
    <xf borderId="0" fillId="4" fontId="5" numFmtId="10" xfId="0" applyFont="1" applyNumberFormat="1"/>
    <xf borderId="0" fillId="0" fontId="5" numFmtId="10" xfId="0" applyFont="1" applyNumberFormat="1"/>
    <xf borderId="0" fillId="5" fontId="1" numFmtId="0" xfId="0" applyFill="1" applyFont="1"/>
    <xf borderId="0" fillId="0" fontId="1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5" fontId="5" numFmtId="0" xfId="0" applyFont="1"/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4" numFmtId="0" xfId="0" applyBorder="1" applyFont="1"/>
    <xf borderId="1" fillId="0" fontId="6" numFmtId="0" xfId="0" applyAlignment="1" applyBorder="1" applyFont="1">
      <alignment readingOrder="0"/>
    </xf>
    <xf borderId="2" fillId="0" fontId="6" numFmtId="0" xfId="0" applyBorder="1" applyFont="1"/>
    <xf borderId="3" fillId="0" fontId="6" numFmtId="0" xfId="0" applyAlignment="1" applyBorder="1" applyFont="1">
      <alignment readingOrder="0"/>
    </xf>
    <xf borderId="2" fillId="0" fontId="4" numFmtId="0" xfId="0" applyBorder="1" applyFont="1"/>
    <xf borderId="0" fillId="0" fontId="2" numFmtId="0" xfId="0" applyFont="1"/>
    <xf borderId="0" fillId="3" fontId="2" numFmtId="0" xfId="0" applyAlignment="1" applyFont="1">
      <alignment readingOrder="0"/>
    </xf>
    <xf borderId="0" fillId="6" fontId="2" numFmtId="1" xfId="0" applyFill="1" applyFont="1" applyNumberFormat="1"/>
    <xf borderId="0" fillId="6" fontId="2" numFmtId="164" xfId="0" applyFont="1" applyNumberFormat="1"/>
    <xf borderId="0" fillId="0" fontId="2" numFmtId="9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4" numFmtId="164" xfId="0" applyBorder="1" applyFont="1" applyNumberFormat="1"/>
    <xf borderId="5" fillId="0" fontId="4" numFmtId="10" xfId="0" applyBorder="1" applyFont="1" applyNumberFormat="1"/>
    <xf borderId="0" fillId="0" fontId="4" numFmtId="0" xfId="0" applyFont="1"/>
    <xf borderId="6" fillId="0" fontId="4" numFmtId="0" xfId="0" applyAlignment="1" applyBorder="1" applyFont="1">
      <alignment readingOrder="0"/>
    </xf>
    <xf borderId="6" fillId="0" fontId="4" numFmtId="164" xfId="0" applyBorder="1" applyFont="1" applyNumberFormat="1"/>
    <xf borderId="7" fillId="0" fontId="4" numFmtId="10" xfId="0" applyBorder="1" applyFont="1" applyNumberFormat="1"/>
    <xf borderId="8" fillId="0" fontId="4" numFmtId="0" xfId="0" applyBorder="1" applyFont="1"/>
    <xf borderId="0" fillId="3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5" fontId="1" numFmtId="1" xfId="0" applyFont="1" applyNumberFormat="1"/>
    <xf borderId="0" fillId="5" fontId="1" numFmtId="164" xfId="0" applyFont="1" applyNumberFormat="1"/>
    <xf borderId="0" fillId="0" fontId="5" numFmtId="0" xfId="0" applyAlignment="1" applyFont="1">
      <alignment horizontal="right"/>
    </xf>
    <xf borderId="0" fillId="0" fontId="7" numFmtId="164" xfId="0" applyFont="1" applyNumberFormat="1"/>
    <xf borderId="0" fillId="0" fontId="8" numFmtId="164" xfId="0" applyFont="1" applyNumberFormat="1"/>
    <xf borderId="0" fillId="7" fontId="1" numFmtId="0" xfId="0" applyFill="1" applyFont="1"/>
    <xf borderId="0" fillId="7" fontId="5" numFmtId="0" xfId="0" applyFont="1"/>
    <xf borderId="0" fillId="7" fontId="2" numFmtId="0" xfId="0" applyFont="1"/>
    <xf borderId="0" fillId="7" fontId="9" numFmtId="0" xfId="0" applyFont="1"/>
    <xf borderId="0" fillId="7" fontId="9" numFmtId="166" xfId="0" applyFont="1" applyNumberFormat="1"/>
    <xf borderId="0" fillId="0" fontId="1" numFmtId="0" xfId="0" applyAlignment="1" applyFont="1">
      <alignment horizontal="right" vertical="bottom"/>
    </xf>
    <xf borderId="0" fillId="8" fontId="1" numFmtId="0" xfId="0" applyFill="1" applyFont="1"/>
    <xf borderId="0" fillId="8" fontId="1" numFmtId="0" xfId="0" applyAlignment="1" applyFont="1">
      <alignment readingOrder="0"/>
    </xf>
    <xf borderId="0" fillId="8" fontId="2" numFmtId="0" xfId="0" applyFont="1"/>
    <xf borderId="0" fillId="8" fontId="5" numFmtId="10" xfId="0" applyFont="1" applyNumberFormat="1"/>
    <xf borderId="0" fillId="8" fontId="5" numFmtId="0" xfId="0" applyFont="1"/>
    <xf borderId="0" fillId="6" fontId="2" numFmtId="0" xfId="0" applyFont="1"/>
    <xf borderId="0" fillId="6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165" xfId="0" applyAlignment="1" applyFont="1" applyNumberFormat="1">
      <alignment readingOrder="0" vertical="bottom"/>
    </xf>
    <xf borderId="0" fillId="3" fontId="4" numFmtId="0" xfId="0" applyFont="1"/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5" xfId="0" applyAlignment="1" applyFont="1" applyNumberFormat="1">
      <alignment vertical="bottom"/>
    </xf>
    <xf borderId="0" fillId="8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7" fontId="1" numFmtId="0" xfId="0" applyAlignment="1" applyFont="1">
      <alignment readingOrder="0"/>
    </xf>
    <xf borderId="0" fillId="0" fontId="4" numFmtId="1" xfId="0" applyFont="1" applyNumberFormat="1"/>
    <xf borderId="0" fillId="7" fontId="9" numFmtId="1" xfId="0" applyFont="1" applyNumberFormat="1"/>
    <xf borderId="1" fillId="0" fontId="4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0" fillId="8" fontId="10" numFmtId="0" xfId="0" applyAlignment="1" applyFont="1">
      <alignment readingOrder="0"/>
    </xf>
    <xf borderId="0" fillId="8" fontId="11" numFmtId="0" xfId="0" applyFont="1"/>
    <xf borderId="0" fillId="8" fontId="11" numFmtId="0" xfId="0" applyAlignment="1" applyFont="1">
      <alignment readingOrder="0"/>
    </xf>
    <xf borderId="0" fillId="8" fontId="12" numFmtId="0" xfId="0" applyFont="1"/>
    <xf borderId="0" fillId="0" fontId="13" numFmtId="0" xfId="0" applyFont="1"/>
    <xf borderId="0" fillId="6" fontId="13" numFmtId="0" xfId="0" applyFont="1"/>
    <xf borderId="0" fillId="0" fontId="13" numFmtId="0" xfId="0" applyAlignment="1" applyFont="1">
      <alignment readingOrder="0"/>
    </xf>
    <xf borderId="0" fillId="6" fontId="13" numFmtId="1" xfId="0" applyAlignment="1" applyFont="1" applyNumberFormat="1">
      <alignment horizontal="right" vertical="bottom"/>
    </xf>
    <xf borderId="0" fillId="3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3" fontId="13" numFmtId="0" xfId="0" applyAlignment="1" applyFont="1">
      <alignment readingOrder="0"/>
    </xf>
    <xf borderId="0" fillId="3" fontId="13" numFmtId="165" xfId="0" applyAlignment="1" applyFont="1" applyNumberFormat="1">
      <alignment readingOrder="0" vertical="bottom"/>
    </xf>
    <xf borderId="0" fillId="3" fontId="13" numFmtId="0" xfId="0" applyAlignment="1" applyFont="1">
      <alignment horizontal="right" vertical="bottom"/>
    </xf>
    <xf borderId="0" fillId="8" fontId="11" numFmtId="1" xfId="0" applyAlignment="1" applyFont="1" applyNumberFormat="1">
      <alignment vertical="bottom"/>
    </xf>
    <xf borderId="0" fillId="8" fontId="11" numFmtId="1" xfId="0" applyAlignment="1" applyFont="1" applyNumberFormat="1">
      <alignment horizontal="right" vertical="bottom"/>
    </xf>
    <xf borderId="0" fillId="8" fontId="13" numFmtId="165" xfId="0" applyAlignment="1" applyFont="1" applyNumberFormat="1">
      <alignment vertical="bottom"/>
    </xf>
    <xf borderId="0" fillId="8" fontId="11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1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7" fontId="11" numFmtId="0" xfId="0" applyFont="1"/>
    <xf borderId="0" fillId="7" fontId="11" numFmtId="0" xfId="0" applyAlignment="1" applyFont="1">
      <alignment readingOrder="0"/>
    </xf>
    <xf borderId="0" fillId="7" fontId="12" numFmtId="0" xfId="0" applyFont="1"/>
    <xf borderId="0" fillId="7" fontId="13" numFmtId="0" xfId="0" applyFont="1"/>
    <xf borderId="0" fillId="7" fontId="14" numFmtId="1" xfId="0" applyFont="1" applyNumberFormat="1"/>
    <xf borderId="0" fillId="7" fontId="14" numFmtId="166" xfId="0" applyFont="1" applyNumberFormat="1"/>
    <xf borderId="0" fillId="2" fontId="2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9" fontId="1" numFmtId="0" xfId="0" applyFill="1" applyFont="1"/>
    <xf borderId="0" fillId="9" fontId="2" numFmtId="0" xfId="0" applyFont="1"/>
    <xf borderId="0" fillId="9" fontId="1" numFmtId="0" xfId="0" applyAlignment="1" applyFont="1">
      <alignment readingOrder="0"/>
    </xf>
    <xf borderId="4" fillId="0" fontId="4" numFmtId="0" xfId="0" applyBorder="1" applyFont="1"/>
    <xf borderId="6" fillId="0" fontId="4" numFmtId="0" xfId="0" applyBorder="1" applyFont="1"/>
    <xf borderId="0" fillId="10" fontId="4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0" xfId="0" applyFont="1"/>
    <xf borderId="0" fillId="3" fontId="2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3" fontId="6" numFmtId="0" xfId="0" applyAlignment="1" applyFont="1">
      <alignment readingOrder="0"/>
    </xf>
    <xf borderId="0" fillId="3" fontId="6" numFmtId="9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2" numFmtId="1" xfId="0" applyFont="1" applyNumberFormat="1"/>
    <xf borderId="0" fillId="3" fontId="1" numFmtId="9" xfId="0" applyAlignment="1" applyFont="1" applyNumberFormat="1">
      <alignment readingOrder="0"/>
    </xf>
    <xf borderId="0" fillId="3" fontId="2" numFmtId="1" xfId="0" applyAlignment="1" applyFont="1" applyNumberFormat="1">
      <alignment vertical="bottom"/>
    </xf>
    <xf borderId="0" fillId="3" fontId="2" numFmtId="1" xfId="0" applyAlignment="1" applyFont="1" applyNumberFormat="1">
      <alignment horizontal="right" vertical="bottom"/>
    </xf>
    <xf borderId="0" fillId="0" fontId="7" numFmtId="1" xfId="0" applyFont="1" applyNumberFormat="1"/>
    <xf borderId="0" fillId="0" fontId="8" numFmtId="0" xfId="0" applyFont="1"/>
    <xf borderId="0" fillId="0" fontId="1" numFmtId="1" xfId="0" applyAlignment="1" applyFont="1" applyNumberFormat="1">
      <alignment vertical="bottom"/>
    </xf>
    <xf borderId="0" fillId="4" fontId="3" numFmtId="165" xfId="0" applyAlignment="1" applyFont="1" applyNumberFormat="1">
      <alignment horizontal="center" readingOrder="0"/>
    </xf>
    <xf borderId="0" fillId="0" fontId="2" numFmtId="1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horizontal="right"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5" numFmtId="2" xfId="0" applyAlignment="1" applyFont="1" applyNumberFormat="1">
      <alignment horizontal="right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0" fillId="9" fontId="1" numFmtId="0" xfId="0" applyAlignment="1" applyFont="1">
      <alignment readingOrder="0" vertical="bottom"/>
    </xf>
    <xf borderId="0" fillId="9" fontId="2" numFmtId="164" xfId="0" applyAlignment="1" applyFont="1" applyNumberFormat="1">
      <alignment readingOrder="0" vertical="bottom"/>
    </xf>
    <xf borderId="0" fillId="9" fontId="2" numFmtId="0" xfId="0" applyAlignment="1" applyFont="1">
      <alignment vertical="bottom"/>
    </xf>
    <xf borderId="0" fillId="5" fontId="6" numFmtId="0" xfId="0" applyAlignment="1" applyFont="1">
      <alignment readingOrder="0"/>
    </xf>
    <xf borderId="0" fillId="5" fontId="4" numFmtId="0" xfId="0" applyFont="1"/>
    <xf borderId="0" fillId="5" fontId="6" numFmtId="9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1" numFmtId="9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11" fontId="4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1" fontId="2" numFmtId="0" xfId="0" applyFont="1"/>
    <xf borderId="0" fillId="11" fontId="2" numFmtId="0" xfId="0" applyAlignment="1" applyFont="1">
      <alignment vertical="bottom"/>
    </xf>
    <xf borderId="0" fillId="11" fontId="2" numFmtId="0" xfId="0" applyAlignment="1" applyFont="1">
      <alignment horizontal="right" vertical="bottom"/>
    </xf>
    <xf borderId="0" fillId="11" fontId="2" numFmtId="0" xfId="0" applyAlignment="1" applyFont="1">
      <alignment vertical="bottom"/>
    </xf>
    <xf borderId="0" fillId="11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f>I2*0.97</f>
        <v>388000</v>
      </c>
      <c r="I2" s="6">
        <v>400000.0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9"/>
      <c r="I3" s="9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115394.0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0.2974072165</v>
      </c>
      <c r="I5" s="13">
        <f>H2*0.3</f>
        <v>116400</v>
      </c>
    </row>
    <row r="6" ht="15.75" customHeight="1">
      <c r="H6" s="16"/>
    </row>
    <row r="7" ht="15.75" customHeight="1">
      <c r="A7" s="17" t="s">
        <v>5</v>
      </c>
      <c r="B7" s="17"/>
      <c r="C7" s="17"/>
      <c r="D7" s="17"/>
      <c r="E7" s="17"/>
      <c r="F7" s="17"/>
      <c r="G7" s="17"/>
      <c r="H7" s="17"/>
      <c r="I7" s="18"/>
      <c r="J7" s="19"/>
      <c r="L7" s="19"/>
      <c r="N7" s="20"/>
      <c r="O7" s="21"/>
      <c r="P7" s="21"/>
      <c r="Q7" s="21"/>
    </row>
    <row r="8" ht="15.75" customHeight="1">
      <c r="A8" s="22" t="s">
        <v>6</v>
      </c>
      <c r="B8" s="22" t="s">
        <v>7</v>
      </c>
      <c r="C8" s="22" t="s">
        <v>8</v>
      </c>
      <c r="D8" s="22" t="s">
        <v>9</v>
      </c>
      <c r="E8" s="22" t="s">
        <v>10</v>
      </c>
      <c r="F8" s="22" t="s">
        <v>11</v>
      </c>
      <c r="G8" s="22" t="s">
        <v>12</v>
      </c>
      <c r="H8" s="22" t="s">
        <v>13</v>
      </c>
      <c r="I8" s="18"/>
      <c r="J8" s="23"/>
      <c r="K8" s="24"/>
      <c r="L8" s="25"/>
      <c r="M8" s="26" t="s">
        <v>14</v>
      </c>
      <c r="N8" s="27"/>
      <c r="O8" s="28" t="s">
        <v>15</v>
      </c>
      <c r="P8" s="29"/>
      <c r="Q8" s="21"/>
    </row>
    <row r="9" ht="15.75" customHeight="1">
      <c r="A9" s="24" t="s">
        <v>16</v>
      </c>
      <c r="B9" s="20">
        <v>125.0</v>
      </c>
      <c r="C9" s="30"/>
      <c r="D9" s="31" t="s">
        <v>17</v>
      </c>
      <c r="E9" s="32">
        <f t="shared" ref="E9:E15" si="1">F9*0.6</f>
        <v>54</v>
      </c>
      <c r="F9" s="20">
        <v>90.0</v>
      </c>
      <c r="G9" s="20">
        <v>575.0</v>
      </c>
      <c r="H9" s="33">
        <f t="shared" ref="H9:H15" si="2">F9*G9</f>
        <v>51750</v>
      </c>
      <c r="J9" s="34"/>
      <c r="K9" s="20"/>
      <c r="L9" s="35" t="s">
        <v>18</v>
      </c>
      <c r="M9" s="36">
        <f>H9+H10+H11</f>
        <v>132250</v>
      </c>
      <c r="N9" s="37">
        <f>M9/H16</f>
        <v>0.5325145963</v>
      </c>
      <c r="O9" s="38">
        <f>F9+F10+F11</f>
        <v>230</v>
      </c>
      <c r="P9" s="37">
        <f>O9/F16</f>
        <v>0.46</v>
      </c>
      <c r="Q9" s="21"/>
    </row>
    <row r="10" ht="15.75" customHeight="1">
      <c r="A10" s="24" t="s">
        <v>16</v>
      </c>
      <c r="B10" s="20">
        <v>125.0</v>
      </c>
      <c r="C10" s="30"/>
      <c r="D10" s="31" t="s">
        <v>17</v>
      </c>
      <c r="E10" s="32">
        <f t="shared" si="1"/>
        <v>54</v>
      </c>
      <c r="F10" s="20">
        <v>90.0</v>
      </c>
      <c r="G10" s="20">
        <v>575.0</v>
      </c>
      <c r="H10" s="33">
        <f t="shared" si="2"/>
        <v>51750</v>
      </c>
      <c r="K10" s="30"/>
      <c r="L10" s="35" t="s">
        <v>19</v>
      </c>
      <c r="M10" s="36">
        <f>H12+H13+H14</f>
        <v>94600</v>
      </c>
      <c r="N10" s="37">
        <f>M10/H16</f>
        <v>0.3809140326</v>
      </c>
      <c r="O10" s="38">
        <f>F12+F13+F14</f>
        <v>220</v>
      </c>
      <c r="P10" s="37">
        <f>O10/F16</f>
        <v>0.44</v>
      </c>
      <c r="Q10" s="21"/>
    </row>
    <row r="11" ht="15.75" customHeight="1">
      <c r="A11" s="24" t="s">
        <v>16</v>
      </c>
      <c r="B11" s="20">
        <v>75.0</v>
      </c>
      <c r="C11" s="30"/>
      <c r="D11" s="31" t="s">
        <v>17</v>
      </c>
      <c r="E11" s="32">
        <f t="shared" si="1"/>
        <v>30</v>
      </c>
      <c r="F11" s="20">
        <v>50.0</v>
      </c>
      <c r="G11" s="20">
        <v>575.0</v>
      </c>
      <c r="H11" s="33">
        <f t="shared" si="2"/>
        <v>28750</v>
      </c>
      <c r="J11" s="34"/>
      <c r="K11" s="20"/>
      <c r="L11" s="39" t="s">
        <v>20</v>
      </c>
      <c r="M11" s="40">
        <f>H15</f>
        <v>21500</v>
      </c>
      <c r="N11" s="41">
        <f>M11/H16</f>
        <v>0.08657137105</v>
      </c>
      <c r="O11" s="42">
        <f>F15</f>
        <v>50</v>
      </c>
      <c r="P11" s="41">
        <f>O11/F16</f>
        <v>0.1</v>
      </c>
      <c r="Q11" s="21"/>
    </row>
    <row r="12" ht="15.75" customHeight="1">
      <c r="A12" s="24" t="s">
        <v>21</v>
      </c>
      <c r="B12" s="20">
        <v>125.0</v>
      </c>
      <c r="C12" s="30"/>
      <c r="D12" s="31" t="s">
        <v>17</v>
      </c>
      <c r="E12" s="32">
        <f t="shared" si="1"/>
        <v>60</v>
      </c>
      <c r="F12" s="20">
        <v>100.0</v>
      </c>
      <c r="G12" s="20">
        <v>430.0</v>
      </c>
      <c r="H12" s="33">
        <f t="shared" si="2"/>
        <v>43000</v>
      </c>
      <c r="J12" s="4"/>
      <c r="K12" s="43"/>
      <c r="L12" s="44"/>
      <c r="M12" s="21"/>
      <c r="N12" s="21"/>
      <c r="O12" s="21"/>
      <c r="P12" s="21"/>
      <c r="Q12" s="21"/>
    </row>
    <row r="13" ht="15.75" customHeight="1">
      <c r="A13" s="24" t="s">
        <v>21</v>
      </c>
      <c r="B13" s="20">
        <v>75.0</v>
      </c>
      <c r="C13" s="30"/>
      <c r="D13" s="31" t="s">
        <v>17</v>
      </c>
      <c r="E13" s="32">
        <f t="shared" si="1"/>
        <v>36</v>
      </c>
      <c r="F13" s="20">
        <v>60.0</v>
      </c>
      <c r="G13" s="20">
        <v>430.0</v>
      </c>
      <c r="H13" s="33">
        <f t="shared" si="2"/>
        <v>25800</v>
      </c>
      <c r="K13" s="30"/>
      <c r="L13" s="45"/>
      <c r="M13" s="46"/>
      <c r="N13" s="47"/>
      <c r="O13" s="44"/>
      <c r="P13" s="48"/>
      <c r="Q13" s="21"/>
    </row>
    <row r="14" ht="15.75" customHeight="1">
      <c r="A14" s="24" t="s">
        <v>21</v>
      </c>
      <c r="B14" s="20">
        <v>75.0</v>
      </c>
      <c r="C14" s="30"/>
      <c r="D14" s="31" t="s">
        <v>17</v>
      </c>
      <c r="E14" s="32">
        <f t="shared" si="1"/>
        <v>36</v>
      </c>
      <c r="F14" s="20">
        <v>60.0</v>
      </c>
      <c r="G14" s="20">
        <v>430.0</v>
      </c>
      <c r="H14" s="33">
        <f t="shared" si="2"/>
        <v>25800</v>
      </c>
      <c r="J14" s="4"/>
      <c r="K14" s="7"/>
      <c r="L14" s="49"/>
      <c r="M14" s="30"/>
      <c r="N14" s="30"/>
      <c r="O14" s="21"/>
      <c r="P14" s="21"/>
      <c r="Q14" s="21"/>
    </row>
    <row r="15" ht="15.75" customHeight="1">
      <c r="A15" s="24" t="s">
        <v>22</v>
      </c>
      <c r="B15" s="20" t="s">
        <v>23</v>
      </c>
      <c r="C15" s="30"/>
      <c r="D15" s="31" t="s">
        <v>17</v>
      </c>
      <c r="E15" s="32">
        <f t="shared" si="1"/>
        <v>30</v>
      </c>
      <c r="F15" s="20">
        <v>50.0</v>
      </c>
      <c r="G15" s="20">
        <v>430.0</v>
      </c>
      <c r="H15" s="33">
        <f t="shared" si="2"/>
        <v>21500</v>
      </c>
      <c r="J15" s="4"/>
      <c r="K15" s="43"/>
      <c r="L15" s="44"/>
      <c r="M15" s="21"/>
      <c r="N15" s="21"/>
      <c r="O15" s="21"/>
      <c r="P15" s="21"/>
      <c r="Q15" s="21"/>
    </row>
    <row r="16" ht="15.75" customHeight="1">
      <c r="A16" s="17" t="s">
        <v>24</v>
      </c>
      <c r="B16" s="17"/>
      <c r="C16" s="17"/>
      <c r="D16" s="17"/>
      <c r="E16" s="50">
        <f>sum(E9:E15)</f>
        <v>300</v>
      </c>
      <c r="F16" s="17">
        <f>SUM(F9:F15)</f>
        <v>500</v>
      </c>
      <c r="G16" s="17"/>
      <c r="H16" s="51">
        <f>sum(H9:H15)</f>
        <v>248350</v>
      </c>
      <c r="I16" s="52" t="s">
        <v>25</v>
      </c>
      <c r="J16" s="4"/>
      <c r="K16" s="48"/>
      <c r="L16" s="48"/>
      <c r="M16" s="21"/>
      <c r="N16" s="21"/>
      <c r="O16" s="21"/>
      <c r="P16" s="21"/>
      <c r="Q16" s="21"/>
    </row>
    <row r="17" ht="15.75" customHeight="1">
      <c r="A17" s="38">
        <f>COUNTA(A9:A15)</f>
        <v>7</v>
      </c>
      <c r="D17" s="24" t="s">
        <v>26</v>
      </c>
      <c r="H17" s="53">
        <f>I17*0.925</f>
        <v>252160.55</v>
      </c>
      <c r="I17" s="54">
        <f>H2-H4</f>
        <v>272606</v>
      </c>
      <c r="J17" s="4"/>
      <c r="K17" s="48"/>
      <c r="L17" s="48"/>
      <c r="M17" s="21"/>
      <c r="N17" s="21"/>
      <c r="O17" s="21"/>
      <c r="P17" s="21"/>
      <c r="Q17" s="21"/>
    </row>
    <row r="18" ht="15.75" customHeight="1">
      <c r="J18" s="4"/>
      <c r="K18" s="4"/>
      <c r="L18" s="4"/>
    </row>
    <row r="19" ht="15.75" customHeight="1">
      <c r="A19" s="55" t="s">
        <v>27</v>
      </c>
      <c r="B19" s="55"/>
      <c r="C19" s="55"/>
      <c r="D19" s="55"/>
      <c r="E19" s="55"/>
      <c r="F19" s="56"/>
      <c r="G19" s="56"/>
      <c r="H19" s="57"/>
      <c r="J19" s="4"/>
      <c r="K19" s="4"/>
      <c r="L19" s="4"/>
    </row>
    <row r="20" ht="15.75" customHeight="1">
      <c r="A20" s="55"/>
      <c r="B20" s="55"/>
      <c r="C20" s="55"/>
      <c r="D20" s="55"/>
      <c r="E20" s="56" t="s">
        <v>28</v>
      </c>
      <c r="F20" s="56" t="s">
        <v>29</v>
      </c>
      <c r="G20" s="56" t="s">
        <v>30</v>
      </c>
      <c r="H20" s="57"/>
      <c r="J20" s="4"/>
      <c r="K20" s="4"/>
      <c r="L20" s="4"/>
    </row>
    <row r="21" ht="15.75" customHeight="1">
      <c r="A21" s="55"/>
      <c r="B21" s="55"/>
      <c r="C21" s="55"/>
      <c r="D21" s="55"/>
      <c r="E21" s="55">
        <f t="shared" ref="E21:F21" si="3">E16*1000</f>
        <v>300000</v>
      </c>
      <c r="F21" s="58">
        <f t="shared" si="3"/>
        <v>500000</v>
      </c>
      <c r="G21" s="59">
        <f>(H2/F21)*1000</f>
        <v>776</v>
      </c>
      <c r="H21" s="57"/>
      <c r="J21" s="4"/>
      <c r="K21" s="4"/>
      <c r="L21" s="4"/>
    </row>
    <row r="22" ht="15.75" customHeight="1">
      <c r="A22" s="7"/>
      <c r="B22" s="4"/>
      <c r="C22" s="4"/>
      <c r="D22" s="4"/>
      <c r="E22" s="4"/>
      <c r="F22" s="4"/>
      <c r="G22" s="60"/>
      <c r="H22" s="49"/>
      <c r="I22" s="4"/>
      <c r="J22" s="4"/>
      <c r="K22" s="4"/>
      <c r="L22" s="4"/>
    </row>
    <row r="23" ht="15.75" customHeight="1">
      <c r="A23" s="61" t="s">
        <v>31</v>
      </c>
      <c r="B23" s="61"/>
      <c r="C23" s="61"/>
      <c r="D23" s="61"/>
      <c r="E23" s="61"/>
      <c r="F23" s="61"/>
      <c r="G23" s="61"/>
      <c r="H23" s="62">
        <v>70000.0</v>
      </c>
    </row>
    <row r="24" ht="15.75" customHeight="1">
      <c r="A24" s="63" t="s">
        <v>4</v>
      </c>
      <c r="B24" s="61"/>
      <c r="C24" s="61"/>
      <c r="D24" s="61"/>
      <c r="E24" s="61"/>
      <c r="F24" s="61"/>
      <c r="G24" s="61"/>
      <c r="H24" s="64"/>
    </row>
    <row r="25" ht="15.75" customHeight="1">
      <c r="A25" s="61"/>
      <c r="B25" s="65" t="s">
        <v>32</v>
      </c>
      <c r="C25" s="65" t="s">
        <v>33</v>
      </c>
      <c r="D25" s="65" t="s">
        <v>34</v>
      </c>
      <c r="E25" s="65" t="s">
        <v>28</v>
      </c>
      <c r="F25" s="65" t="s">
        <v>29</v>
      </c>
      <c r="G25" s="65" t="s">
        <v>35</v>
      </c>
      <c r="H25" s="61"/>
      <c r="K25" s="21"/>
      <c r="L25" s="21"/>
      <c r="M25" s="21"/>
      <c r="N25" s="21"/>
      <c r="O25" s="21"/>
      <c r="P25" s="21"/>
      <c r="Q25" s="21"/>
    </row>
    <row r="26" ht="15.75" customHeight="1">
      <c r="A26" s="30" t="s">
        <v>36</v>
      </c>
      <c r="B26" s="66"/>
      <c r="C26" s="66"/>
      <c r="D26" s="20" t="s">
        <v>37</v>
      </c>
      <c r="E26" s="67">
        <f t="shared" ref="E26:E29" si="4">F26*0.25</f>
        <v>334687.5</v>
      </c>
      <c r="F26" s="67">
        <f t="shared" ref="F26:F28" si="5">sum(1000*H26)/G26*0.85</f>
        <v>1338750</v>
      </c>
      <c r="G26" s="68">
        <v>20.0</v>
      </c>
      <c r="H26" s="69">
        <f>H23*0.45</f>
        <v>31500</v>
      </c>
      <c r="K26" s="21"/>
      <c r="L26" s="21"/>
      <c r="M26" s="21"/>
      <c r="N26" s="21"/>
      <c r="O26" s="21"/>
      <c r="P26" s="21"/>
      <c r="Q26" s="21"/>
    </row>
    <row r="27" ht="15.75" customHeight="1">
      <c r="A27" s="30" t="s">
        <v>38</v>
      </c>
      <c r="B27" s="66"/>
      <c r="C27" s="66"/>
      <c r="D27" s="20" t="s">
        <v>37</v>
      </c>
      <c r="E27" s="67">
        <f t="shared" si="4"/>
        <v>446250</v>
      </c>
      <c r="F27" s="67">
        <f t="shared" si="5"/>
        <v>1785000</v>
      </c>
      <c r="G27" s="68">
        <v>15.0</v>
      </c>
      <c r="H27" s="49">
        <f>H23*0.45</f>
        <v>31500</v>
      </c>
      <c r="I27" s="44"/>
      <c r="K27" s="21"/>
      <c r="L27" s="21"/>
      <c r="M27" s="21"/>
      <c r="N27" s="21"/>
      <c r="O27" s="21"/>
      <c r="P27" s="21"/>
      <c r="Q27" s="21"/>
    </row>
    <row r="28" ht="15.75" customHeight="1">
      <c r="A28" s="31" t="s">
        <v>39</v>
      </c>
      <c r="B28" s="66"/>
      <c r="C28" s="66"/>
      <c r="D28" s="20" t="s">
        <v>37</v>
      </c>
      <c r="E28" s="67">
        <f t="shared" si="4"/>
        <v>37187.5</v>
      </c>
      <c r="F28" s="67">
        <f t="shared" si="5"/>
        <v>148750</v>
      </c>
      <c r="G28" s="70">
        <v>40.0</v>
      </c>
      <c r="H28" s="44">
        <f>H23*0.1</f>
        <v>7000</v>
      </c>
      <c r="I28" s="48"/>
      <c r="J28" s="71"/>
      <c r="K28" s="21"/>
      <c r="L28" s="21"/>
      <c r="M28" s="21"/>
      <c r="N28" s="21"/>
      <c r="O28" s="21"/>
      <c r="P28" s="21"/>
      <c r="Q28" s="2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</row>
    <row r="29" ht="15.75" customHeight="1">
      <c r="A29" s="61" t="s">
        <v>24</v>
      </c>
      <c r="B29" s="61"/>
      <c r="C29" s="61"/>
      <c r="D29" s="61"/>
      <c r="E29" s="72">
        <f t="shared" si="4"/>
        <v>818125</v>
      </c>
      <c r="F29" s="73">
        <f>sum(F26:F28)</f>
        <v>3272500</v>
      </c>
      <c r="G29" s="74"/>
      <c r="H29" s="75">
        <f>sum(H26:H28)</f>
        <v>70000</v>
      </c>
      <c r="I29" s="48"/>
      <c r="K29" s="21"/>
      <c r="L29" s="21"/>
      <c r="M29" s="21"/>
      <c r="N29" s="21"/>
      <c r="O29" s="21"/>
      <c r="P29" s="21"/>
      <c r="Q29" s="21"/>
    </row>
    <row r="30" ht="15.75" customHeight="1">
      <c r="A30" s="76"/>
      <c r="B30" s="77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55" t="s">
        <v>27</v>
      </c>
      <c r="B31" s="78" t="s">
        <v>40</v>
      </c>
      <c r="C31" s="55"/>
      <c r="D31" s="55"/>
      <c r="E31" s="55"/>
      <c r="F31" s="56"/>
      <c r="G31" s="56"/>
      <c r="H31" s="57"/>
      <c r="I31" s="24" t="s">
        <v>41</v>
      </c>
      <c r="J31" s="4"/>
      <c r="K31" s="4"/>
      <c r="L31" s="4"/>
    </row>
    <row r="32" ht="15.75" customHeight="1">
      <c r="A32" s="55"/>
      <c r="B32" s="55"/>
      <c r="C32" s="55"/>
      <c r="D32" s="55"/>
      <c r="E32" s="56" t="s">
        <v>28</v>
      </c>
      <c r="F32" s="56" t="s">
        <v>29</v>
      </c>
      <c r="G32" s="56" t="s">
        <v>30</v>
      </c>
      <c r="H32" s="57"/>
      <c r="I32" s="79">
        <f>(I2+H23)/0.97</f>
        <v>484536.0825</v>
      </c>
      <c r="J32" s="76" t="s">
        <v>42</v>
      </c>
      <c r="K32" s="4"/>
      <c r="L32" s="4"/>
    </row>
    <row r="33" ht="15.75" customHeight="1">
      <c r="A33" s="55"/>
      <c r="B33" s="55"/>
      <c r="C33" s="55"/>
      <c r="D33" s="55"/>
      <c r="E33" s="55"/>
      <c r="F33" s="80">
        <f>(F21+F29)</f>
        <v>3772500</v>
      </c>
      <c r="G33" s="59">
        <f>((I2+H23)/F33)*1000</f>
        <v>124.5858184</v>
      </c>
      <c r="H33" s="57"/>
      <c r="J33" s="4"/>
      <c r="K33" s="4"/>
      <c r="L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7" t="s">
        <v>5</v>
      </c>
      <c r="B1" s="17"/>
      <c r="C1" s="17"/>
      <c r="D1" s="17"/>
      <c r="E1" s="17"/>
      <c r="F1" s="17"/>
      <c r="G1" s="17"/>
      <c r="H1" s="17"/>
      <c r="I1" s="18"/>
      <c r="J1" s="19"/>
      <c r="L1" s="19"/>
      <c r="N1" s="20"/>
      <c r="O1" s="21"/>
      <c r="P1" s="21"/>
      <c r="Q1" s="21"/>
    </row>
    <row r="2" ht="15.75" customHeight="1">
      <c r="A2" s="22" t="s">
        <v>6</v>
      </c>
      <c r="B2" s="22" t="s">
        <v>7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2" t="s">
        <v>13</v>
      </c>
      <c r="I2" s="18"/>
      <c r="J2" s="23"/>
      <c r="K2" s="24"/>
      <c r="L2" s="81" t="s">
        <v>43</v>
      </c>
      <c r="M2" s="26" t="s">
        <v>44</v>
      </c>
      <c r="N2" s="82" t="s">
        <v>45</v>
      </c>
      <c r="O2" s="28" t="s">
        <v>46</v>
      </c>
      <c r="P2" s="82" t="s">
        <v>45</v>
      </c>
      <c r="Q2" s="21"/>
    </row>
    <row r="3" ht="15.75" customHeight="1">
      <c r="A3" s="24" t="s">
        <v>16</v>
      </c>
      <c r="B3" s="20">
        <v>125.0</v>
      </c>
      <c r="C3" s="30"/>
      <c r="D3" s="31" t="s">
        <v>17</v>
      </c>
      <c r="E3" s="32">
        <f t="shared" ref="E3:E9" si="1">F3*0.6</f>
        <v>54</v>
      </c>
      <c r="F3" s="20">
        <v>90.0</v>
      </c>
      <c r="G3" s="20">
        <v>485.0</v>
      </c>
      <c r="H3" s="33">
        <f t="shared" ref="H3:H9" si="2">F3*G3</f>
        <v>43650</v>
      </c>
      <c r="J3" s="34"/>
      <c r="K3" s="20"/>
      <c r="L3" s="35" t="s">
        <v>18</v>
      </c>
      <c r="M3" s="36">
        <f>H3+H4+H5</f>
        <v>111550</v>
      </c>
      <c r="N3" s="37">
        <f>M3/H10</f>
        <v>0.5309376487</v>
      </c>
      <c r="O3" s="38">
        <f>F3+F4+F5</f>
        <v>230</v>
      </c>
      <c r="P3" s="37">
        <f>O3/F10</f>
        <v>0.46</v>
      </c>
      <c r="Q3" s="21"/>
    </row>
    <row r="4" ht="15.75" customHeight="1">
      <c r="A4" s="24" t="s">
        <v>16</v>
      </c>
      <c r="B4" s="20">
        <v>125.0</v>
      </c>
      <c r="C4" s="30"/>
      <c r="D4" s="31" t="s">
        <v>17</v>
      </c>
      <c r="E4" s="32">
        <f t="shared" si="1"/>
        <v>54</v>
      </c>
      <c r="F4" s="20">
        <v>90.0</v>
      </c>
      <c r="G4" s="20">
        <v>485.0</v>
      </c>
      <c r="H4" s="33">
        <f t="shared" si="2"/>
        <v>43650</v>
      </c>
      <c r="K4" s="30"/>
      <c r="L4" s="35" t="s">
        <v>19</v>
      </c>
      <c r="M4" s="36">
        <f>H6+H7+H8</f>
        <v>80300</v>
      </c>
      <c r="N4" s="37">
        <f>M4/H10</f>
        <v>0.3821989529</v>
      </c>
      <c r="O4" s="38">
        <f>F6+F7+F8</f>
        <v>220</v>
      </c>
      <c r="P4" s="37">
        <f>O4/F10</f>
        <v>0.44</v>
      </c>
      <c r="Q4" s="21"/>
    </row>
    <row r="5" ht="15.75" customHeight="1">
      <c r="A5" s="24" t="s">
        <v>16</v>
      </c>
      <c r="B5" s="20">
        <v>75.0</v>
      </c>
      <c r="C5" s="30"/>
      <c r="D5" s="31" t="s">
        <v>17</v>
      </c>
      <c r="E5" s="32">
        <f t="shared" si="1"/>
        <v>30</v>
      </c>
      <c r="F5" s="20">
        <v>50.0</v>
      </c>
      <c r="G5" s="20">
        <v>485.0</v>
      </c>
      <c r="H5" s="33">
        <f t="shared" si="2"/>
        <v>24250</v>
      </c>
      <c r="J5" s="34"/>
      <c r="K5" s="20"/>
      <c r="L5" s="39" t="s">
        <v>20</v>
      </c>
      <c r="M5" s="40">
        <f>H9</f>
        <v>18250</v>
      </c>
      <c r="N5" s="41">
        <f>M5/H10</f>
        <v>0.08686339838</v>
      </c>
      <c r="O5" s="42">
        <f>F9</f>
        <v>50</v>
      </c>
      <c r="P5" s="41">
        <f>O5/F10</f>
        <v>0.1</v>
      </c>
      <c r="Q5" s="21"/>
    </row>
    <row r="6" ht="15.75" customHeight="1">
      <c r="A6" s="24" t="s">
        <v>21</v>
      </c>
      <c r="B6" s="20">
        <v>125.0</v>
      </c>
      <c r="C6" s="30"/>
      <c r="D6" s="31" t="s">
        <v>17</v>
      </c>
      <c r="E6" s="32">
        <f t="shared" si="1"/>
        <v>60</v>
      </c>
      <c r="F6" s="20">
        <v>100.0</v>
      </c>
      <c r="G6" s="20">
        <v>365.0</v>
      </c>
      <c r="H6" s="33">
        <f t="shared" si="2"/>
        <v>36500</v>
      </c>
      <c r="J6" s="4"/>
      <c r="K6" s="43"/>
      <c r="L6" s="44"/>
      <c r="M6" s="21"/>
      <c r="N6" s="21"/>
      <c r="O6" s="21"/>
      <c r="P6" s="21"/>
      <c r="Q6" s="21"/>
    </row>
    <row r="7" ht="15.75" customHeight="1">
      <c r="A7" s="24" t="s">
        <v>21</v>
      </c>
      <c r="B7" s="20">
        <v>75.0</v>
      </c>
      <c r="C7" s="30"/>
      <c r="D7" s="31" t="s">
        <v>17</v>
      </c>
      <c r="E7" s="32">
        <f t="shared" si="1"/>
        <v>36</v>
      </c>
      <c r="F7" s="20">
        <v>60.0</v>
      </c>
      <c r="G7" s="20">
        <v>365.0</v>
      </c>
      <c r="H7" s="33">
        <f t="shared" si="2"/>
        <v>21900</v>
      </c>
      <c r="K7" s="30"/>
      <c r="L7" s="45"/>
      <c r="M7" s="46"/>
      <c r="N7" s="47"/>
      <c r="O7" s="44"/>
      <c r="P7" s="48"/>
      <c r="Q7" s="21"/>
    </row>
    <row r="8" ht="15.75" customHeight="1">
      <c r="A8" s="24" t="s">
        <v>21</v>
      </c>
      <c r="B8" s="20">
        <v>75.0</v>
      </c>
      <c r="C8" s="30"/>
      <c r="D8" s="31" t="s">
        <v>17</v>
      </c>
      <c r="E8" s="32">
        <f t="shared" si="1"/>
        <v>36</v>
      </c>
      <c r="F8" s="20">
        <v>60.0</v>
      </c>
      <c r="G8" s="20">
        <v>365.0</v>
      </c>
      <c r="H8" s="33">
        <f t="shared" si="2"/>
        <v>21900</v>
      </c>
      <c r="J8" s="4"/>
      <c r="K8" s="7"/>
      <c r="L8" s="49"/>
      <c r="M8" s="30"/>
      <c r="N8" s="30"/>
      <c r="O8" s="21"/>
      <c r="P8" s="21"/>
      <c r="Q8" s="21"/>
    </row>
    <row r="9" ht="15.75" customHeight="1">
      <c r="A9" s="24" t="s">
        <v>22</v>
      </c>
      <c r="B9" s="20" t="s">
        <v>23</v>
      </c>
      <c r="C9" s="30"/>
      <c r="D9" s="31" t="s">
        <v>17</v>
      </c>
      <c r="E9" s="32">
        <f t="shared" si="1"/>
        <v>30</v>
      </c>
      <c r="F9" s="20">
        <v>50.0</v>
      </c>
      <c r="G9" s="20">
        <v>365.0</v>
      </c>
      <c r="H9" s="33">
        <f t="shared" si="2"/>
        <v>18250</v>
      </c>
      <c r="J9" s="4"/>
      <c r="K9" s="43"/>
      <c r="L9" s="44"/>
      <c r="M9" s="21"/>
      <c r="N9" s="21"/>
      <c r="O9" s="21"/>
      <c r="P9" s="21"/>
      <c r="Q9" s="21"/>
    </row>
    <row r="10" ht="15.75" customHeight="1">
      <c r="A10" s="17" t="s">
        <v>24</v>
      </c>
      <c r="B10" s="17"/>
      <c r="C10" s="17"/>
      <c r="D10" s="17"/>
      <c r="E10" s="50">
        <f>sum(E3:E9)</f>
        <v>300</v>
      </c>
      <c r="F10" s="17">
        <f>SUM(F3:F9)</f>
        <v>500</v>
      </c>
      <c r="G10" s="17"/>
      <c r="H10" s="51">
        <f>sum(H3:H9)</f>
        <v>210100</v>
      </c>
      <c r="I10" s="52"/>
      <c r="J10" s="4"/>
      <c r="K10" s="48"/>
      <c r="L10" s="48"/>
      <c r="M10" s="21"/>
      <c r="N10" s="21"/>
      <c r="O10" s="21"/>
      <c r="P10" s="21"/>
      <c r="Q10" s="21"/>
    </row>
    <row r="11" ht="15.75" customHeight="1">
      <c r="A11" s="38">
        <f>COUNTA(A3:A9)</f>
        <v>7</v>
      </c>
      <c r="D11" s="24" t="s">
        <v>26</v>
      </c>
      <c r="H11" s="53"/>
      <c r="I11" s="54"/>
      <c r="J11" s="4"/>
      <c r="K11" s="48"/>
      <c r="L11" s="48"/>
      <c r="M11" s="21"/>
      <c r="N11" s="21"/>
      <c r="O11" s="21"/>
      <c r="P11" s="21"/>
      <c r="Q11" s="21"/>
    </row>
    <row r="12" ht="15.75" customHeight="1">
      <c r="J12" s="4"/>
      <c r="K12" s="4"/>
      <c r="L12" s="4"/>
    </row>
    <row r="13" ht="15.75" customHeight="1">
      <c r="A13" s="55" t="s">
        <v>27</v>
      </c>
      <c r="B13" s="55"/>
      <c r="C13" s="55"/>
      <c r="D13" s="55"/>
      <c r="E13" s="55"/>
      <c r="F13" s="56"/>
      <c r="G13" s="56"/>
      <c r="H13" s="57"/>
      <c r="J13" s="4"/>
      <c r="K13" s="4"/>
      <c r="L13" s="4"/>
    </row>
    <row r="14" ht="15.75" customHeight="1">
      <c r="A14" s="55"/>
      <c r="B14" s="55"/>
      <c r="C14" s="55"/>
      <c r="D14" s="55"/>
      <c r="E14" s="56" t="s">
        <v>28</v>
      </c>
      <c r="F14" s="56" t="s">
        <v>29</v>
      </c>
      <c r="G14" s="56" t="s">
        <v>30</v>
      </c>
      <c r="H14" s="57"/>
      <c r="J14" s="4"/>
      <c r="K14" s="4"/>
      <c r="L14" s="4"/>
    </row>
    <row r="15" ht="15.75" customHeight="1">
      <c r="A15" s="55"/>
      <c r="B15" s="55"/>
      <c r="C15" s="55"/>
      <c r="D15" s="55"/>
      <c r="E15" s="55">
        <f t="shared" ref="E15:F15" si="3">E10*1000</f>
        <v>300000</v>
      </c>
      <c r="F15" s="58">
        <f t="shared" si="3"/>
        <v>500000</v>
      </c>
      <c r="G15" s="59" t="str">
        <f>(#REF!/F15)*1000</f>
        <v>#REF!</v>
      </c>
      <c r="H15" s="57"/>
      <c r="J15" s="4"/>
      <c r="K15" s="4"/>
      <c r="L15" s="4"/>
    </row>
    <row r="16" ht="15.75" customHeight="1">
      <c r="A16" s="7"/>
      <c r="B16" s="4"/>
      <c r="C16" s="4"/>
      <c r="D16" s="4"/>
      <c r="E16" s="4"/>
      <c r="F16" s="4"/>
      <c r="G16" s="60"/>
      <c r="H16" s="49"/>
      <c r="I16" s="4"/>
      <c r="J16" s="4"/>
      <c r="K16" s="4"/>
      <c r="L16" s="4"/>
    </row>
    <row r="17" ht="15.75" customHeight="1">
      <c r="A17" s="83" t="s">
        <v>47</v>
      </c>
      <c r="B17" s="84"/>
      <c r="C17" s="84"/>
      <c r="D17" s="84"/>
      <c r="E17" s="84"/>
      <c r="F17" s="84"/>
      <c r="G17" s="84"/>
      <c r="H17" s="85">
        <v>70000.0</v>
      </c>
    </row>
    <row r="18" ht="15.75" customHeight="1">
      <c r="A18" s="84"/>
      <c r="B18" s="86" t="s">
        <v>32</v>
      </c>
      <c r="C18" s="86" t="s">
        <v>33</v>
      </c>
      <c r="D18" s="86" t="s">
        <v>34</v>
      </c>
      <c r="E18" s="86" t="s">
        <v>28</v>
      </c>
      <c r="F18" s="86" t="s">
        <v>29</v>
      </c>
      <c r="G18" s="86" t="s">
        <v>35</v>
      </c>
      <c r="H18" s="84"/>
      <c r="K18" s="21"/>
      <c r="L18" s="21"/>
      <c r="M18" s="21"/>
      <c r="N18" s="21"/>
      <c r="O18" s="21"/>
      <c r="P18" s="21"/>
      <c r="Q18" s="21"/>
    </row>
    <row r="19" ht="15.75" customHeight="1">
      <c r="A19" s="87" t="s">
        <v>36</v>
      </c>
      <c r="B19" s="88"/>
      <c r="C19" s="88"/>
      <c r="D19" s="89" t="s">
        <v>37</v>
      </c>
      <c r="E19" s="90">
        <f t="shared" ref="E19:E22" si="4">F19*0.25</f>
        <v>334687.5</v>
      </c>
      <c r="F19" s="90">
        <f t="shared" ref="F19:F21" si="5">sum(1000*H19)/G19*0.85</f>
        <v>1338750</v>
      </c>
      <c r="G19" s="91">
        <v>20.0</v>
      </c>
      <c r="H19" s="92">
        <f>H17*0.45</f>
        <v>31500</v>
      </c>
      <c r="K19" s="21"/>
      <c r="L19" s="21"/>
      <c r="M19" s="21"/>
      <c r="N19" s="21"/>
      <c r="O19" s="21"/>
      <c r="P19" s="21"/>
      <c r="Q19" s="21"/>
    </row>
    <row r="20" ht="15.75" customHeight="1">
      <c r="A20" s="87" t="s">
        <v>38</v>
      </c>
      <c r="B20" s="88"/>
      <c r="C20" s="88"/>
      <c r="D20" s="89" t="s">
        <v>37</v>
      </c>
      <c r="E20" s="90">
        <f t="shared" si="4"/>
        <v>446250</v>
      </c>
      <c r="F20" s="90">
        <f t="shared" si="5"/>
        <v>1785000</v>
      </c>
      <c r="G20" s="91">
        <v>15.0</v>
      </c>
      <c r="H20" s="93">
        <f>H17*0.45</f>
        <v>31500</v>
      </c>
      <c r="I20" s="44"/>
      <c r="K20" s="21"/>
      <c r="L20" s="21"/>
      <c r="M20" s="21"/>
      <c r="N20" s="21"/>
      <c r="O20" s="21"/>
      <c r="P20" s="21"/>
      <c r="Q20" s="21"/>
    </row>
    <row r="21" ht="15.75" customHeight="1">
      <c r="A21" s="94" t="s">
        <v>39</v>
      </c>
      <c r="B21" s="88"/>
      <c r="C21" s="88"/>
      <c r="D21" s="89" t="s">
        <v>37</v>
      </c>
      <c r="E21" s="90">
        <f t="shared" si="4"/>
        <v>37187.5</v>
      </c>
      <c r="F21" s="90">
        <f t="shared" si="5"/>
        <v>148750</v>
      </c>
      <c r="G21" s="95">
        <v>40.0</v>
      </c>
      <c r="H21" s="96">
        <f>H17*0.1</f>
        <v>7000</v>
      </c>
      <c r="I21" s="48"/>
      <c r="J21" s="71"/>
      <c r="K21" s="21"/>
      <c r="L21" s="21"/>
      <c r="M21" s="21"/>
      <c r="N21" s="21"/>
      <c r="O21" s="21"/>
      <c r="P21" s="21"/>
      <c r="Q21" s="2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</row>
    <row r="22" ht="15.75" customHeight="1">
      <c r="A22" s="84" t="s">
        <v>24</v>
      </c>
      <c r="B22" s="84"/>
      <c r="C22" s="84"/>
      <c r="D22" s="84"/>
      <c r="E22" s="97">
        <f t="shared" si="4"/>
        <v>818125</v>
      </c>
      <c r="F22" s="98">
        <f>sum(F19:F21)</f>
        <v>3272500</v>
      </c>
      <c r="G22" s="99"/>
      <c r="H22" s="100">
        <f>sum(H19:H21)</f>
        <v>70000</v>
      </c>
      <c r="I22" s="48"/>
      <c r="K22" s="21"/>
      <c r="L22" s="21"/>
      <c r="M22" s="21"/>
      <c r="N22" s="21"/>
      <c r="O22" s="21"/>
      <c r="P22" s="21"/>
      <c r="Q22" s="21"/>
    </row>
    <row r="23" ht="15.75" customHeight="1">
      <c r="A23" s="101"/>
      <c r="B23" s="102"/>
      <c r="C23" s="103"/>
      <c r="D23" s="103"/>
      <c r="E23" s="103"/>
      <c r="F23" s="103"/>
      <c r="G23" s="103"/>
      <c r="H23" s="103"/>
      <c r="I23" s="4"/>
      <c r="J23" s="4"/>
      <c r="K23" s="4"/>
      <c r="L23" s="4"/>
    </row>
    <row r="24" ht="15.75" customHeight="1">
      <c r="A24" s="104" t="s">
        <v>27</v>
      </c>
      <c r="B24" s="105" t="s">
        <v>40</v>
      </c>
      <c r="C24" s="104"/>
      <c r="D24" s="104"/>
      <c r="E24" s="104"/>
      <c r="F24" s="106"/>
      <c r="G24" s="106"/>
      <c r="H24" s="107"/>
      <c r="J24" s="4"/>
      <c r="K24" s="4"/>
      <c r="L24" s="4"/>
    </row>
    <row r="25" ht="15.75" customHeight="1">
      <c r="A25" s="104"/>
      <c r="B25" s="104"/>
      <c r="C25" s="104"/>
      <c r="D25" s="104"/>
      <c r="E25" s="106" t="s">
        <v>28</v>
      </c>
      <c r="F25" s="106" t="s">
        <v>29</v>
      </c>
      <c r="G25" s="106" t="s">
        <v>30</v>
      </c>
      <c r="H25" s="107"/>
      <c r="I25" s="79"/>
      <c r="J25" s="76"/>
      <c r="K25" s="4"/>
      <c r="L25" s="4"/>
    </row>
    <row r="26" ht="15.75" customHeight="1">
      <c r="A26" s="104"/>
      <c r="B26" s="104"/>
      <c r="C26" s="104"/>
      <c r="D26" s="104"/>
      <c r="E26" s="104"/>
      <c r="F26" s="108">
        <f>(F15+F22)</f>
        <v>3772500</v>
      </c>
      <c r="G26" s="109" t="str">
        <f>((#REF!+H17)/F26)*1000</f>
        <v>#REF!</v>
      </c>
      <c r="H26" s="107"/>
      <c r="J26" s="4"/>
      <c r="L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f>I2*0.97</f>
        <v>388000</v>
      </c>
      <c r="I2" s="6">
        <v>400000.0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9"/>
      <c r="I3" s="9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119929.0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0.3090953608</v>
      </c>
      <c r="I5" s="13">
        <f>H2*0.3</f>
        <v>116400</v>
      </c>
    </row>
    <row r="6" ht="15.75" customHeight="1">
      <c r="H6" s="16"/>
    </row>
    <row r="7" ht="15.75" customHeight="1">
      <c r="A7" s="17" t="s">
        <v>5</v>
      </c>
      <c r="B7" s="17"/>
      <c r="C7" s="17"/>
      <c r="D7" s="17"/>
      <c r="E7" s="17"/>
      <c r="F7" s="17"/>
      <c r="G7" s="17"/>
      <c r="H7" s="17"/>
      <c r="I7" s="18"/>
      <c r="J7" s="19"/>
      <c r="L7" s="19"/>
      <c r="N7" s="20"/>
      <c r="O7" s="21"/>
      <c r="P7" s="21"/>
      <c r="Q7" s="21"/>
    </row>
    <row r="8" ht="15.75" customHeight="1">
      <c r="A8" s="22" t="s">
        <v>6</v>
      </c>
      <c r="B8" s="22" t="s">
        <v>7</v>
      </c>
      <c r="C8" s="22" t="s">
        <v>8</v>
      </c>
      <c r="D8" s="22" t="s">
        <v>9</v>
      </c>
      <c r="E8" s="22" t="s">
        <v>10</v>
      </c>
      <c r="F8" s="22" t="s">
        <v>11</v>
      </c>
      <c r="G8" s="22" t="s">
        <v>12</v>
      </c>
      <c r="H8" s="22" t="s">
        <v>13</v>
      </c>
      <c r="I8" s="18"/>
      <c r="J8" s="23"/>
      <c r="K8" s="24"/>
      <c r="L8" s="25"/>
      <c r="M8" s="26" t="s">
        <v>14</v>
      </c>
      <c r="N8" s="27"/>
      <c r="O8" s="28" t="s">
        <v>15</v>
      </c>
      <c r="P8" s="29"/>
      <c r="Q8" s="21"/>
    </row>
    <row r="9" ht="15.75" customHeight="1">
      <c r="A9" s="24" t="s">
        <v>16</v>
      </c>
      <c r="B9" s="20">
        <v>125.0</v>
      </c>
      <c r="C9" s="30"/>
      <c r="D9" s="31" t="s">
        <v>17</v>
      </c>
      <c r="E9" s="32">
        <f t="shared" ref="E9:E16" si="1">F9*0.6</f>
        <v>54</v>
      </c>
      <c r="F9" s="20">
        <v>90.0</v>
      </c>
      <c r="G9" s="20">
        <v>480.0</v>
      </c>
      <c r="H9" s="33">
        <f t="shared" ref="H9:H16" si="2">F9*G9</f>
        <v>43200</v>
      </c>
      <c r="J9" s="34"/>
      <c r="K9" s="20"/>
      <c r="L9" s="35" t="s">
        <v>18</v>
      </c>
      <c r="M9" s="36">
        <f>H9+H10+H11</f>
        <v>110400</v>
      </c>
      <c r="N9" s="37">
        <f>M9/H17</f>
        <v>0.46</v>
      </c>
      <c r="O9" s="38">
        <f>F9+F10+F11</f>
        <v>230</v>
      </c>
      <c r="P9" s="37">
        <f>O9/F17</f>
        <v>0.3898305085</v>
      </c>
      <c r="Q9" s="21"/>
    </row>
    <row r="10" ht="15.75" customHeight="1">
      <c r="A10" s="24" t="s">
        <v>16</v>
      </c>
      <c r="B10" s="20">
        <v>125.0</v>
      </c>
      <c r="C10" s="30"/>
      <c r="D10" s="31" t="s">
        <v>17</v>
      </c>
      <c r="E10" s="32">
        <f t="shared" si="1"/>
        <v>54</v>
      </c>
      <c r="F10" s="20">
        <v>90.0</v>
      </c>
      <c r="G10" s="20">
        <v>480.0</v>
      </c>
      <c r="H10" s="33">
        <f t="shared" si="2"/>
        <v>43200</v>
      </c>
      <c r="K10" s="30"/>
      <c r="L10" s="35" t="s">
        <v>19</v>
      </c>
      <c r="M10" s="36">
        <f>H12+H13+H14</f>
        <v>93600</v>
      </c>
      <c r="N10" s="37">
        <f>M10/H17</f>
        <v>0.39</v>
      </c>
      <c r="O10" s="38">
        <f>F12+F13+F14</f>
        <v>260</v>
      </c>
      <c r="P10" s="37">
        <f>O10/F17</f>
        <v>0.4406779661</v>
      </c>
      <c r="Q10" s="21"/>
    </row>
    <row r="11" ht="15.75" customHeight="1">
      <c r="A11" s="24" t="s">
        <v>16</v>
      </c>
      <c r="B11" s="20">
        <v>75.0</v>
      </c>
      <c r="C11" s="30"/>
      <c r="D11" s="31" t="s">
        <v>17</v>
      </c>
      <c r="E11" s="32">
        <f t="shared" si="1"/>
        <v>30</v>
      </c>
      <c r="F11" s="20">
        <v>50.0</v>
      </c>
      <c r="G11" s="20">
        <v>480.0</v>
      </c>
      <c r="H11" s="33">
        <f t="shared" si="2"/>
        <v>24000</v>
      </c>
      <c r="J11" s="34"/>
      <c r="K11" s="20"/>
      <c r="L11" s="39" t="s">
        <v>20</v>
      </c>
      <c r="M11" s="40">
        <f>H15+H16</f>
        <v>36000</v>
      </c>
      <c r="N11" s="41">
        <f>M11/H17</f>
        <v>0.15</v>
      </c>
      <c r="O11" s="42">
        <f>F15+F16</f>
        <v>100</v>
      </c>
      <c r="P11" s="41">
        <f>O11/F17</f>
        <v>0.1694915254</v>
      </c>
      <c r="Q11" s="21"/>
    </row>
    <row r="12" ht="15.75" customHeight="1">
      <c r="A12" s="24" t="s">
        <v>21</v>
      </c>
      <c r="B12" s="20">
        <v>125.0</v>
      </c>
      <c r="C12" s="30"/>
      <c r="D12" s="31" t="s">
        <v>17</v>
      </c>
      <c r="E12" s="32">
        <f t="shared" si="1"/>
        <v>60</v>
      </c>
      <c r="F12" s="20">
        <v>100.0</v>
      </c>
      <c r="G12" s="20">
        <v>360.0</v>
      </c>
      <c r="H12" s="33">
        <f t="shared" si="2"/>
        <v>36000</v>
      </c>
      <c r="J12" s="4"/>
      <c r="K12" s="43"/>
      <c r="L12" s="44"/>
      <c r="M12" s="21"/>
      <c r="N12" s="21"/>
      <c r="O12" s="21"/>
      <c r="P12" s="21"/>
      <c r="Q12" s="21"/>
    </row>
    <row r="13" ht="15.75" customHeight="1">
      <c r="A13" s="24" t="s">
        <v>21</v>
      </c>
      <c r="B13" s="20">
        <v>125.0</v>
      </c>
      <c r="C13" s="30"/>
      <c r="D13" s="31" t="s">
        <v>17</v>
      </c>
      <c r="E13" s="32">
        <f t="shared" si="1"/>
        <v>60</v>
      </c>
      <c r="F13" s="20">
        <v>100.0</v>
      </c>
      <c r="G13" s="20">
        <v>360.0</v>
      </c>
      <c r="H13" s="33">
        <f t="shared" si="2"/>
        <v>36000</v>
      </c>
      <c r="K13" s="30"/>
      <c r="L13" s="45"/>
      <c r="M13" s="46"/>
      <c r="N13" s="47"/>
      <c r="O13" s="44"/>
      <c r="P13" s="48"/>
      <c r="Q13" s="21"/>
    </row>
    <row r="14" ht="15.75" customHeight="1">
      <c r="A14" s="24" t="s">
        <v>21</v>
      </c>
      <c r="B14" s="20">
        <v>75.0</v>
      </c>
      <c r="C14" s="30"/>
      <c r="D14" s="31" t="s">
        <v>17</v>
      </c>
      <c r="E14" s="32">
        <f t="shared" si="1"/>
        <v>36</v>
      </c>
      <c r="F14" s="20">
        <v>60.0</v>
      </c>
      <c r="G14" s="20">
        <v>360.0</v>
      </c>
      <c r="H14" s="33">
        <f t="shared" si="2"/>
        <v>21600</v>
      </c>
      <c r="J14" s="4"/>
      <c r="K14" s="7"/>
      <c r="L14" s="49"/>
      <c r="M14" s="30"/>
      <c r="N14" s="30"/>
      <c r="O14" s="21"/>
      <c r="P14" s="21"/>
      <c r="Q14" s="21"/>
    </row>
    <row r="15" ht="15.75" customHeight="1">
      <c r="A15" s="24" t="s">
        <v>22</v>
      </c>
      <c r="B15" s="20" t="s">
        <v>23</v>
      </c>
      <c r="C15" s="30"/>
      <c r="D15" s="31" t="s">
        <v>17</v>
      </c>
      <c r="E15" s="32">
        <f t="shared" si="1"/>
        <v>30</v>
      </c>
      <c r="F15" s="20">
        <v>50.0</v>
      </c>
      <c r="G15" s="20">
        <v>360.0</v>
      </c>
      <c r="H15" s="33">
        <f t="shared" si="2"/>
        <v>18000</v>
      </c>
      <c r="J15" s="4"/>
      <c r="K15" s="43"/>
      <c r="L15" s="44"/>
      <c r="M15" s="21"/>
      <c r="N15" s="21"/>
      <c r="O15" s="21"/>
      <c r="P15" s="21"/>
      <c r="Q15" s="21"/>
    </row>
    <row r="16" ht="15.75" customHeight="1">
      <c r="A16" s="24" t="s">
        <v>22</v>
      </c>
      <c r="B16" s="20" t="s">
        <v>23</v>
      </c>
      <c r="C16" s="30"/>
      <c r="D16" s="31" t="s">
        <v>17</v>
      </c>
      <c r="E16" s="32">
        <f t="shared" si="1"/>
        <v>30</v>
      </c>
      <c r="F16" s="20">
        <v>50.0</v>
      </c>
      <c r="G16" s="20">
        <v>360.0</v>
      </c>
      <c r="H16" s="33">
        <f t="shared" si="2"/>
        <v>18000</v>
      </c>
      <c r="J16" s="4"/>
      <c r="K16" s="48"/>
      <c r="L16" s="48"/>
      <c r="M16" s="21"/>
      <c r="N16" s="21"/>
      <c r="O16" s="21"/>
      <c r="P16" s="21"/>
      <c r="Q16" s="21"/>
    </row>
    <row r="17" ht="15.75" customHeight="1">
      <c r="A17" s="17" t="s">
        <v>24</v>
      </c>
      <c r="B17" s="17"/>
      <c r="C17" s="17"/>
      <c r="D17" s="17"/>
      <c r="E17" s="50">
        <f>sum(E11:E16)</f>
        <v>246</v>
      </c>
      <c r="F17" s="17">
        <f>SUM(F9:F16)</f>
        <v>590</v>
      </c>
      <c r="G17" s="17"/>
      <c r="H17" s="51">
        <f>sum(H9:H16)</f>
        <v>240000</v>
      </c>
      <c r="I17" s="52" t="s">
        <v>25</v>
      </c>
      <c r="J17" s="4"/>
      <c r="K17" s="48"/>
      <c r="L17" s="48"/>
      <c r="M17" s="21"/>
      <c r="N17" s="21"/>
      <c r="O17" s="21"/>
      <c r="P17" s="21"/>
      <c r="Q17" s="21"/>
    </row>
    <row r="18" ht="15.75" customHeight="1">
      <c r="A18" s="38">
        <f>COUNTA(A9:A16)</f>
        <v>8</v>
      </c>
      <c r="D18" s="24" t="s">
        <v>48</v>
      </c>
      <c r="H18" s="53">
        <f>I18*0.925</f>
        <v>247965.675</v>
      </c>
      <c r="I18" s="54">
        <f>H2-H4</f>
        <v>268071</v>
      </c>
      <c r="J18" s="4"/>
      <c r="K18" s="48"/>
      <c r="L18" s="48"/>
      <c r="M18" s="21"/>
      <c r="N18" s="21"/>
      <c r="O18" s="21"/>
      <c r="P18" s="21"/>
      <c r="Q18" s="21"/>
    </row>
    <row r="19" ht="15.75" customHeight="1">
      <c r="J19" s="4"/>
      <c r="K19" s="4"/>
      <c r="L19" s="4"/>
    </row>
    <row r="20" ht="15.75" customHeight="1">
      <c r="A20" s="55" t="s">
        <v>27</v>
      </c>
      <c r="B20" s="55"/>
      <c r="C20" s="55"/>
      <c r="D20" s="55"/>
      <c r="E20" s="55"/>
      <c r="F20" s="56"/>
      <c r="G20" s="56"/>
      <c r="H20" s="57"/>
      <c r="J20" s="4"/>
      <c r="K20" s="4"/>
      <c r="L20" s="4"/>
    </row>
    <row r="21" ht="15.75" customHeight="1">
      <c r="A21" s="55"/>
      <c r="B21" s="55"/>
      <c r="C21" s="55"/>
      <c r="D21" s="55"/>
      <c r="E21" s="56" t="s">
        <v>28</v>
      </c>
      <c r="F21" s="56" t="s">
        <v>29</v>
      </c>
      <c r="G21" s="56" t="s">
        <v>30</v>
      </c>
      <c r="H21" s="57"/>
      <c r="J21" s="4"/>
      <c r="K21" s="4"/>
      <c r="L21" s="4"/>
    </row>
    <row r="22" ht="15.75" customHeight="1">
      <c r="A22" s="55"/>
      <c r="B22" s="55"/>
      <c r="C22" s="55"/>
      <c r="D22" s="55"/>
      <c r="E22" s="55">
        <f t="shared" ref="E22:F22" si="3">E17*1000</f>
        <v>246000</v>
      </c>
      <c r="F22" s="58">
        <f t="shared" si="3"/>
        <v>590000</v>
      </c>
      <c r="G22" s="59">
        <f>(H2/F22)*1000</f>
        <v>657.6271186</v>
      </c>
      <c r="H22" s="57"/>
      <c r="J22" s="4"/>
      <c r="K22" s="4"/>
      <c r="L22" s="4"/>
    </row>
    <row r="23" ht="15.75" customHeight="1">
      <c r="A23" s="7"/>
      <c r="B23" s="4"/>
      <c r="C23" s="4"/>
      <c r="D23" s="4"/>
      <c r="E23" s="4"/>
      <c r="F23" s="4"/>
      <c r="G23" s="60"/>
      <c r="H23" s="49"/>
      <c r="I23" s="4"/>
      <c r="J23" s="4"/>
      <c r="K23" s="4"/>
      <c r="L23" s="4"/>
    </row>
    <row r="24" ht="15.75" customHeight="1">
      <c r="A24" s="61" t="s">
        <v>31</v>
      </c>
      <c r="B24" s="61"/>
      <c r="C24" s="61"/>
      <c r="D24" s="61"/>
      <c r="E24" s="61"/>
      <c r="F24" s="61"/>
      <c r="G24" s="61"/>
      <c r="H24" s="62">
        <v>70000.0</v>
      </c>
    </row>
    <row r="25" ht="15.75" customHeight="1">
      <c r="A25" s="63" t="s">
        <v>4</v>
      </c>
      <c r="B25" s="61"/>
      <c r="C25" s="61"/>
      <c r="D25" s="61"/>
      <c r="E25" s="61"/>
      <c r="F25" s="61"/>
      <c r="G25" s="61"/>
      <c r="H25" s="64"/>
    </row>
    <row r="26" ht="15.75" customHeight="1">
      <c r="A26" s="61"/>
      <c r="B26" s="65" t="s">
        <v>32</v>
      </c>
      <c r="C26" s="65" t="s">
        <v>33</v>
      </c>
      <c r="D26" s="65" t="s">
        <v>34</v>
      </c>
      <c r="E26" s="65" t="s">
        <v>28</v>
      </c>
      <c r="F26" s="65" t="s">
        <v>29</v>
      </c>
      <c r="G26" s="65" t="s">
        <v>35</v>
      </c>
      <c r="H26" s="61"/>
      <c r="K26" s="21"/>
      <c r="L26" s="21"/>
      <c r="M26" s="21"/>
      <c r="N26" s="21"/>
      <c r="O26" s="21"/>
      <c r="P26" s="21"/>
      <c r="Q26" s="21"/>
    </row>
    <row r="27" ht="15.75" customHeight="1">
      <c r="A27" s="30" t="s">
        <v>36</v>
      </c>
      <c r="B27" s="66"/>
      <c r="C27" s="66"/>
      <c r="D27" s="20" t="s">
        <v>37</v>
      </c>
      <c r="E27" s="67">
        <f t="shared" ref="E27:E30" si="4">F27*0.25</f>
        <v>334687.5</v>
      </c>
      <c r="F27" s="67">
        <f t="shared" ref="F27:F29" si="5">sum(1000*H27)/G27*0.85</f>
        <v>1338750</v>
      </c>
      <c r="G27" s="68">
        <v>20.0</v>
      </c>
      <c r="H27" s="69">
        <f>H24*0.45</f>
        <v>31500</v>
      </c>
      <c r="K27" s="21"/>
      <c r="L27" s="21"/>
      <c r="M27" s="21"/>
      <c r="N27" s="21"/>
      <c r="O27" s="21"/>
      <c r="P27" s="21"/>
      <c r="Q27" s="21"/>
    </row>
    <row r="28" ht="15.75" customHeight="1">
      <c r="A28" s="30" t="s">
        <v>38</v>
      </c>
      <c r="B28" s="66"/>
      <c r="C28" s="66"/>
      <c r="D28" s="20" t="s">
        <v>37</v>
      </c>
      <c r="E28" s="67">
        <f t="shared" si="4"/>
        <v>446250</v>
      </c>
      <c r="F28" s="67">
        <f t="shared" si="5"/>
        <v>1785000</v>
      </c>
      <c r="G28" s="68">
        <v>15.0</v>
      </c>
      <c r="H28" s="49">
        <f>H24*0.45</f>
        <v>31500</v>
      </c>
      <c r="I28" s="44"/>
      <c r="K28" s="21"/>
      <c r="L28" s="21"/>
      <c r="M28" s="21"/>
      <c r="N28" s="21"/>
      <c r="O28" s="21"/>
      <c r="P28" s="21"/>
      <c r="Q28" s="21"/>
    </row>
    <row r="29" ht="15.75" customHeight="1">
      <c r="A29" s="31" t="s">
        <v>39</v>
      </c>
      <c r="B29" s="66"/>
      <c r="C29" s="66"/>
      <c r="D29" s="20" t="s">
        <v>37</v>
      </c>
      <c r="E29" s="67">
        <f t="shared" si="4"/>
        <v>37187.5</v>
      </c>
      <c r="F29" s="67">
        <f t="shared" si="5"/>
        <v>148750</v>
      </c>
      <c r="G29" s="70">
        <v>40.0</v>
      </c>
      <c r="H29" s="44">
        <f>H24*0.1</f>
        <v>7000</v>
      </c>
      <c r="I29" s="48"/>
      <c r="J29" s="71"/>
      <c r="K29" s="21"/>
      <c r="L29" s="21"/>
      <c r="M29" s="21"/>
      <c r="N29" s="21"/>
      <c r="O29" s="21"/>
      <c r="P29" s="21"/>
      <c r="Q29" s="2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</row>
    <row r="30" ht="15.75" customHeight="1">
      <c r="A30" s="61" t="s">
        <v>24</v>
      </c>
      <c r="B30" s="61"/>
      <c r="C30" s="61"/>
      <c r="D30" s="61"/>
      <c r="E30" s="72">
        <f t="shared" si="4"/>
        <v>818125</v>
      </c>
      <c r="F30" s="73">
        <f>sum(F27:F29)</f>
        <v>3272500</v>
      </c>
      <c r="G30" s="74"/>
      <c r="H30" s="75">
        <f>sum(H27:H29)</f>
        <v>70000</v>
      </c>
      <c r="I30" s="48"/>
      <c r="K30" s="21"/>
      <c r="L30" s="21"/>
      <c r="M30" s="21"/>
      <c r="N30" s="21"/>
      <c r="O30" s="21"/>
      <c r="P30" s="21"/>
      <c r="Q30" s="21"/>
    </row>
    <row r="31" ht="15.75" customHeight="1">
      <c r="A31" s="76"/>
      <c r="B31" s="77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55" t="s">
        <v>27</v>
      </c>
      <c r="B32" s="78" t="s">
        <v>40</v>
      </c>
      <c r="C32" s="55"/>
      <c r="D32" s="55"/>
      <c r="E32" s="55"/>
      <c r="F32" s="56"/>
      <c r="G32" s="56"/>
      <c r="H32" s="57"/>
      <c r="I32" s="24" t="s">
        <v>41</v>
      </c>
      <c r="J32" s="4"/>
      <c r="K32" s="4"/>
      <c r="L32" s="4"/>
    </row>
    <row r="33" ht="15.75" customHeight="1">
      <c r="A33" s="55"/>
      <c r="B33" s="55"/>
      <c r="C33" s="55"/>
      <c r="D33" s="55"/>
      <c r="E33" s="56" t="s">
        <v>28</v>
      </c>
      <c r="F33" s="56" t="s">
        <v>29</v>
      </c>
      <c r="G33" s="56" t="s">
        <v>30</v>
      </c>
      <c r="H33" s="57"/>
      <c r="I33" s="79">
        <f>(I2+H24)/0.97</f>
        <v>484536.0825</v>
      </c>
      <c r="J33" s="76" t="s">
        <v>42</v>
      </c>
      <c r="K33" s="4"/>
      <c r="L33" s="4"/>
    </row>
    <row r="34" ht="15.75" customHeight="1">
      <c r="A34" s="55"/>
      <c r="B34" s="55"/>
      <c r="C34" s="55"/>
      <c r="D34" s="55"/>
      <c r="E34" s="55"/>
      <c r="F34" s="80">
        <f>(F22+F30)</f>
        <v>3862500</v>
      </c>
      <c r="G34" s="59">
        <f>((I2+H24)/F34)*1000</f>
        <v>121.6828479</v>
      </c>
      <c r="H34" s="57"/>
      <c r="J34" s="4"/>
      <c r="K34" s="4"/>
      <c r="L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10">
        <v>756600.0</v>
      </c>
      <c r="I2" s="111">
        <v>780000.0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4"/>
      <c r="I3" s="4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12">
        <v>237105.0</v>
      </c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H4/I2</f>
        <v>0.3039807692</v>
      </c>
    </row>
    <row r="6" ht="15.75" customHeight="1">
      <c r="H6" s="16"/>
    </row>
    <row r="7" ht="15.75" customHeight="1">
      <c r="A7" s="113" t="s">
        <v>3</v>
      </c>
      <c r="B7" s="114"/>
      <c r="C7" s="114"/>
      <c r="D7" s="114"/>
      <c r="E7" s="114"/>
      <c r="F7" s="114"/>
      <c r="G7" s="114"/>
      <c r="H7" s="115">
        <v>60000.0</v>
      </c>
    </row>
    <row r="8" ht="15.75" customHeight="1">
      <c r="H8" s="16"/>
    </row>
    <row r="9">
      <c r="A9" s="17" t="s">
        <v>5</v>
      </c>
      <c r="B9" s="17"/>
      <c r="C9" s="17"/>
      <c r="D9" s="17"/>
      <c r="E9" s="17"/>
      <c r="F9" s="17"/>
      <c r="G9" s="17"/>
      <c r="H9" s="17"/>
      <c r="I9" s="18"/>
    </row>
    <row r="10">
      <c r="A10" s="22" t="s">
        <v>6</v>
      </c>
      <c r="B10" s="22" t="s">
        <v>7</v>
      </c>
      <c r="C10" s="22" t="s">
        <v>8</v>
      </c>
      <c r="D10" s="22" t="s">
        <v>9</v>
      </c>
      <c r="E10" s="22" t="s">
        <v>28</v>
      </c>
      <c r="F10" s="22" t="s">
        <v>11</v>
      </c>
      <c r="G10" s="22" t="s">
        <v>12</v>
      </c>
      <c r="H10" s="22" t="s">
        <v>13</v>
      </c>
      <c r="I10" s="18"/>
    </row>
    <row r="11">
      <c r="A11" s="24" t="s">
        <v>16</v>
      </c>
      <c r="B11" s="20">
        <v>125.0</v>
      </c>
      <c r="C11" s="30"/>
      <c r="D11" s="31" t="s">
        <v>17</v>
      </c>
      <c r="E11" s="32">
        <f t="shared" ref="E11:E25" si="1">F11*0.6</f>
        <v>54</v>
      </c>
      <c r="F11" s="20">
        <v>90.0</v>
      </c>
      <c r="G11" s="20">
        <v>480.0</v>
      </c>
      <c r="H11" s="66">
        <f t="shared" ref="H11:H25" si="2">F11*G11</f>
        <v>43200</v>
      </c>
    </row>
    <row r="12">
      <c r="A12" s="24" t="s">
        <v>16</v>
      </c>
      <c r="B12" s="20">
        <v>125.0</v>
      </c>
      <c r="C12" s="30"/>
      <c r="D12" s="31" t="s">
        <v>17</v>
      </c>
      <c r="E12" s="32">
        <f t="shared" si="1"/>
        <v>54</v>
      </c>
      <c r="F12" s="20">
        <v>90.0</v>
      </c>
      <c r="G12" s="20">
        <v>480.0</v>
      </c>
      <c r="H12" s="66">
        <f t="shared" si="2"/>
        <v>43200</v>
      </c>
      <c r="K12" s="25"/>
      <c r="L12" s="26" t="s">
        <v>14</v>
      </c>
      <c r="M12" s="27"/>
      <c r="N12" s="28" t="s">
        <v>15</v>
      </c>
      <c r="O12" s="29"/>
    </row>
    <row r="13">
      <c r="A13" s="24" t="s">
        <v>16</v>
      </c>
      <c r="B13" s="20">
        <v>125.0</v>
      </c>
      <c r="C13" s="30"/>
      <c r="D13" s="31" t="s">
        <v>17</v>
      </c>
      <c r="E13" s="32">
        <f t="shared" si="1"/>
        <v>54</v>
      </c>
      <c r="F13" s="20">
        <v>90.0</v>
      </c>
      <c r="G13" s="20">
        <v>480.0</v>
      </c>
      <c r="H13" s="66">
        <f t="shared" si="2"/>
        <v>43200</v>
      </c>
      <c r="K13" s="35" t="s">
        <v>18</v>
      </c>
      <c r="L13" s="116">
        <f>H11+H12+H13+H14+H15+H16</f>
        <v>201600</v>
      </c>
      <c r="M13" s="37">
        <f>L13/H26</f>
        <v>0.4806866953</v>
      </c>
      <c r="N13" s="38">
        <f>F11+F12+F13+F14+F15+F16</f>
        <v>420</v>
      </c>
      <c r="O13" s="37">
        <f>N13/F26</f>
        <v>0.4097560976</v>
      </c>
    </row>
    <row r="14">
      <c r="A14" s="24" t="s">
        <v>16</v>
      </c>
      <c r="B14" s="20">
        <v>75.0</v>
      </c>
      <c r="C14" s="30"/>
      <c r="D14" s="31" t="s">
        <v>17</v>
      </c>
      <c r="E14" s="32">
        <f t="shared" si="1"/>
        <v>30</v>
      </c>
      <c r="F14" s="20">
        <v>50.0</v>
      </c>
      <c r="G14" s="20">
        <v>480.0</v>
      </c>
      <c r="H14" s="66">
        <f t="shared" si="2"/>
        <v>24000</v>
      </c>
      <c r="K14" s="35" t="s">
        <v>19</v>
      </c>
      <c r="L14" s="116">
        <f>H17+H18+H19+H20+H21+H22</f>
        <v>172800</v>
      </c>
      <c r="M14" s="37">
        <f>L14/H26</f>
        <v>0.4120171674</v>
      </c>
      <c r="N14" s="38">
        <f>F17+F18+F19+F20+F21+F22</f>
        <v>480</v>
      </c>
      <c r="O14" s="37">
        <f>N14/F26</f>
        <v>0.4682926829</v>
      </c>
    </row>
    <row r="15">
      <c r="A15" s="24" t="s">
        <v>16</v>
      </c>
      <c r="B15" s="20">
        <v>75.0</v>
      </c>
      <c r="C15" s="30"/>
      <c r="D15" s="31" t="s">
        <v>17</v>
      </c>
      <c r="E15" s="32">
        <f t="shared" si="1"/>
        <v>30</v>
      </c>
      <c r="F15" s="20">
        <v>50.0</v>
      </c>
      <c r="G15" s="20">
        <v>480.0</v>
      </c>
      <c r="H15" s="66">
        <f t="shared" si="2"/>
        <v>24000</v>
      </c>
      <c r="K15" s="39" t="s">
        <v>20</v>
      </c>
      <c r="L15" s="117">
        <f>H23+H24+H25</f>
        <v>45000</v>
      </c>
      <c r="M15" s="41">
        <f>L15/H26</f>
        <v>0.1072961373</v>
      </c>
      <c r="N15" s="42">
        <f>F23+F24+F25</f>
        <v>125</v>
      </c>
      <c r="O15" s="41">
        <f>N15/F26</f>
        <v>0.1219512195</v>
      </c>
    </row>
    <row r="16">
      <c r="A16" s="24" t="s">
        <v>16</v>
      </c>
      <c r="B16" s="20">
        <v>75.0</v>
      </c>
      <c r="C16" s="30"/>
      <c r="D16" s="31" t="s">
        <v>17</v>
      </c>
      <c r="E16" s="32">
        <f t="shared" si="1"/>
        <v>30</v>
      </c>
      <c r="F16" s="20">
        <v>50.0</v>
      </c>
      <c r="G16" s="20">
        <v>480.0</v>
      </c>
      <c r="H16" s="66">
        <f t="shared" si="2"/>
        <v>24000</v>
      </c>
    </row>
    <row r="17">
      <c r="A17" s="118" t="s">
        <v>21</v>
      </c>
      <c r="B17" s="119">
        <v>125.0</v>
      </c>
      <c r="C17" s="120"/>
      <c r="D17" s="119" t="s">
        <v>17</v>
      </c>
      <c r="E17" s="32">
        <f t="shared" si="1"/>
        <v>60</v>
      </c>
      <c r="F17" s="20">
        <v>100.0</v>
      </c>
      <c r="G17" s="31">
        <v>360.0</v>
      </c>
      <c r="H17" s="66">
        <f t="shared" si="2"/>
        <v>36000</v>
      </c>
    </row>
    <row r="18">
      <c r="A18" s="118" t="s">
        <v>21</v>
      </c>
      <c r="B18" s="119">
        <v>125.0</v>
      </c>
      <c r="C18" s="120"/>
      <c r="D18" s="119" t="s">
        <v>17</v>
      </c>
      <c r="E18" s="32">
        <f t="shared" si="1"/>
        <v>60</v>
      </c>
      <c r="F18" s="20">
        <v>100.0</v>
      </c>
      <c r="G18" s="121">
        <v>360.0</v>
      </c>
      <c r="H18" s="122">
        <f t="shared" si="2"/>
        <v>36000</v>
      </c>
    </row>
    <row r="19" ht="15.75" customHeight="1">
      <c r="A19" s="118" t="s">
        <v>21</v>
      </c>
      <c r="B19" s="119">
        <v>125.0</v>
      </c>
      <c r="C19" s="120"/>
      <c r="D19" s="119" t="s">
        <v>17</v>
      </c>
      <c r="E19" s="32">
        <f t="shared" si="1"/>
        <v>60</v>
      </c>
      <c r="F19" s="20">
        <v>100.0</v>
      </c>
      <c r="G19" s="31">
        <v>360.0</v>
      </c>
      <c r="H19" s="66">
        <f t="shared" si="2"/>
        <v>36000</v>
      </c>
      <c r="K19" s="21"/>
      <c r="L19" s="21"/>
      <c r="M19" s="21"/>
      <c r="N19" s="21"/>
      <c r="O19" s="21"/>
      <c r="P19" s="21"/>
      <c r="Q19" s="21"/>
    </row>
    <row r="20" ht="15.75" customHeight="1">
      <c r="A20" s="118" t="s">
        <v>21</v>
      </c>
      <c r="B20" s="119">
        <v>75.0</v>
      </c>
      <c r="C20" s="120"/>
      <c r="D20" s="119" t="s">
        <v>17</v>
      </c>
      <c r="E20" s="32">
        <f t="shared" si="1"/>
        <v>36</v>
      </c>
      <c r="F20" s="20">
        <v>60.0</v>
      </c>
      <c r="G20" s="31">
        <v>360.0</v>
      </c>
      <c r="H20" s="66">
        <f t="shared" si="2"/>
        <v>21600</v>
      </c>
      <c r="J20" s="123"/>
      <c r="K20" s="71"/>
      <c r="L20" s="31"/>
      <c r="M20" s="31"/>
      <c r="N20" s="31"/>
      <c r="O20" s="21"/>
      <c r="P20" s="21"/>
      <c r="Q20" s="21"/>
    </row>
    <row r="21" ht="15.75" customHeight="1">
      <c r="A21" s="118" t="s">
        <v>21</v>
      </c>
      <c r="B21" s="119">
        <v>75.0</v>
      </c>
      <c r="C21" s="120"/>
      <c r="D21" s="119" t="s">
        <v>17</v>
      </c>
      <c r="E21" s="32">
        <f t="shared" si="1"/>
        <v>36</v>
      </c>
      <c r="F21" s="20">
        <v>60.0</v>
      </c>
      <c r="G21" s="31">
        <v>360.0</v>
      </c>
      <c r="H21" s="66">
        <f t="shared" si="2"/>
        <v>21600</v>
      </c>
      <c r="J21" s="124"/>
      <c r="K21" s="125"/>
      <c r="L21" s="126"/>
      <c r="M21" s="21"/>
      <c r="N21" s="68"/>
      <c r="O21" s="21"/>
      <c r="P21" s="21"/>
      <c r="Q21" s="21"/>
    </row>
    <row r="22" ht="15.75" customHeight="1">
      <c r="A22" s="118" t="s">
        <v>21</v>
      </c>
      <c r="B22" s="119">
        <v>75.0</v>
      </c>
      <c r="C22" s="120"/>
      <c r="D22" s="119" t="s">
        <v>17</v>
      </c>
      <c r="E22" s="32">
        <f t="shared" si="1"/>
        <v>36</v>
      </c>
      <c r="F22" s="20">
        <v>60.0</v>
      </c>
      <c r="G22" s="31">
        <v>360.0</v>
      </c>
      <c r="H22" s="66">
        <f t="shared" si="2"/>
        <v>21600</v>
      </c>
      <c r="J22" s="127"/>
      <c r="K22" s="31"/>
      <c r="L22" s="128"/>
      <c r="M22" s="48"/>
      <c r="N22" s="68"/>
      <c r="O22" s="44"/>
      <c r="P22" s="48"/>
      <c r="Q22" s="21"/>
    </row>
    <row r="23" ht="15.75" customHeight="1">
      <c r="A23" s="24" t="s">
        <v>22</v>
      </c>
      <c r="B23" s="20" t="s">
        <v>23</v>
      </c>
      <c r="C23" s="30"/>
      <c r="D23" s="21"/>
      <c r="E23" s="66">
        <f t="shared" si="1"/>
        <v>30</v>
      </c>
      <c r="F23" s="20">
        <v>50.0</v>
      </c>
      <c r="G23" s="20">
        <v>360.0</v>
      </c>
      <c r="H23" s="66">
        <f t="shared" si="2"/>
        <v>18000</v>
      </c>
      <c r="J23" s="71"/>
      <c r="K23" s="21"/>
      <c r="L23" s="129"/>
      <c r="M23" s="129"/>
      <c r="N23" s="68"/>
      <c r="O23" s="44"/>
      <c r="P23" s="44"/>
      <c r="Q23" s="21"/>
    </row>
    <row r="24" ht="15.75" customHeight="1">
      <c r="A24" s="24" t="s">
        <v>22</v>
      </c>
      <c r="B24" s="20" t="s">
        <v>23</v>
      </c>
      <c r="C24" s="30"/>
      <c r="D24" s="21"/>
      <c r="E24" s="66">
        <f t="shared" si="1"/>
        <v>30</v>
      </c>
      <c r="F24" s="20">
        <v>50.0</v>
      </c>
      <c r="G24" s="20">
        <v>360.0</v>
      </c>
      <c r="H24" s="66">
        <f t="shared" si="2"/>
        <v>18000</v>
      </c>
      <c r="J24" s="71"/>
      <c r="K24" s="21"/>
      <c r="L24" s="129"/>
      <c r="M24" s="129"/>
      <c r="N24" s="68"/>
      <c r="O24" s="44"/>
      <c r="P24" s="44"/>
      <c r="Q24" s="21"/>
    </row>
    <row r="25" ht="15.75" customHeight="1">
      <c r="A25" s="24" t="s">
        <v>22</v>
      </c>
      <c r="B25" s="20" t="s">
        <v>23</v>
      </c>
      <c r="C25" s="30"/>
      <c r="D25" s="21"/>
      <c r="E25" s="66">
        <f t="shared" si="1"/>
        <v>15</v>
      </c>
      <c r="F25" s="20">
        <v>25.0</v>
      </c>
      <c r="G25" s="20">
        <v>360.0</v>
      </c>
      <c r="H25" s="66">
        <f t="shared" si="2"/>
        <v>9000</v>
      </c>
      <c r="J25" s="71"/>
      <c r="K25" s="21"/>
      <c r="L25" s="129"/>
      <c r="M25" s="129"/>
      <c r="N25" s="68"/>
      <c r="O25" s="44"/>
      <c r="P25" s="44"/>
      <c r="Q25" s="21"/>
    </row>
    <row r="26" ht="15.75" customHeight="1">
      <c r="A26" s="17" t="s">
        <v>24</v>
      </c>
      <c r="B26" s="17"/>
      <c r="C26" s="17"/>
      <c r="D26" s="17"/>
      <c r="E26" s="50">
        <f>sum(E11:E25)</f>
        <v>615</v>
      </c>
      <c r="F26" s="17">
        <f>SUM(F11:F25)</f>
        <v>1025</v>
      </c>
      <c r="G26" s="17"/>
      <c r="H26" s="17">
        <f>sum(H11:H25)</f>
        <v>419400</v>
      </c>
      <c r="I26" s="52" t="s">
        <v>25</v>
      </c>
      <c r="J26" s="4"/>
      <c r="K26" s="43"/>
      <c r="L26" s="44"/>
      <c r="M26" s="21"/>
      <c r="N26" s="21"/>
      <c r="O26" s="21"/>
      <c r="P26" s="21"/>
      <c r="Q26" s="21"/>
    </row>
    <row r="27" ht="15.75" customHeight="1">
      <c r="A27" s="38">
        <f>COUNTA(A11:A25)</f>
        <v>15</v>
      </c>
      <c r="H27" s="130">
        <f>I27*0.925</f>
        <v>425032.875</v>
      </c>
      <c r="I27" s="131">
        <f>H2-H4-H7</f>
        <v>459495</v>
      </c>
      <c r="J27" s="4"/>
      <c r="K27" s="43"/>
      <c r="L27" s="44"/>
      <c r="M27" s="21"/>
      <c r="N27" s="21"/>
      <c r="O27" s="21"/>
      <c r="P27" s="21"/>
      <c r="Q27" s="21"/>
    </row>
    <row r="28" ht="15.75" customHeight="1">
      <c r="J28" s="4"/>
      <c r="K28" s="43"/>
      <c r="L28" s="44"/>
      <c r="M28" s="21"/>
      <c r="N28" s="21"/>
      <c r="O28" s="21"/>
      <c r="P28" s="21"/>
      <c r="Q28" s="21"/>
    </row>
    <row r="29" ht="15.75" customHeight="1">
      <c r="A29" s="55" t="s">
        <v>27</v>
      </c>
      <c r="B29" s="55"/>
      <c r="C29" s="55"/>
      <c r="D29" s="55"/>
      <c r="E29" s="55"/>
      <c r="F29" s="56"/>
      <c r="G29" s="56"/>
      <c r="H29" s="57"/>
      <c r="J29" s="4"/>
      <c r="K29" s="4"/>
      <c r="L29" s="4"/>
    </row>
    <row r="30" ht="15.75" customHeight="1">
      <c r="A30" s="55"/>
      <c r="B30" s="55"/>
      <c r="C30" s="55"/>
      <c r="D30" s="55"/>
      <c r="E30" s="56" t="s">
        <v>28</v>
      </c>
      <c r="F30" s="56" t="s">
        <v>29</v>
      </c>
      <c r="G30" s="56" t="s">
        <v>30</v>
      </c>
      <c r="H30" s="57"/>
      <c r="J30" s="4"/>
      <c r="K30" s="4"/>
      <c r="L30" s="4"/>
    </row>
    <row r="31" ht="15.75" customHeight="1">
      <c r="A31" s="55"/>
      <c r="B31" s="55"/>
      <c r="C31" s="55"/>
      <c r="D31" s="55"/>
      <c r="E31" s="55">
        <f t="shared" ref="E31:F31" si="3">E26*1000</f>
        <v>615000</v>
      </c>
      <c r="F31" s="58">
        <f t="shared" si="3"/>
        <v>1025000</v>
      </c>
      <c r="G31" s="59">
        <f>(I2/F31)*1000</f>
        <v>760.9756098</v>
      </c>
      <c r="H31" s="57"/>
      <c r="J31" s="4"/>
      <c r="K31" s="4"/>
      <c r="L31" s="4"/>
    </row>
    <row r="32" ht="15.75" customHeight="1">
      <c r="J32" s="4"/>
      <c r="K32" s="43"/>
      <c r="L32" s="44"/>
      <c r="M32" s="21"/>
      <c r="N32" s="21"/>
      <c r="O32" s="21"/>
      <c r="P32" s="21"/>
      <c r="Q32" s="21"/>
    </row>
    <row r="33" ht="15.75" customHeight="1">
      <c r="J33" s="4"/>
      <c r="K33" s="48"/>
      <c r="L33" s="48"/>
      <c r="M33" s="21"/>
      <c r="N33" s="21"/>
      <c r="O33" s="21"/>
      <c r="P33" s="21"/>
      <c r="Q33" s="21"/>
    </row>
    <row r="34" ht="15.75" customHeight="1">
      <c r="A34" s="61" t="s">
        <v>31</v>
      </c>
      <c r="B34" s="61"/>
      <c r="C34" s="61"/>
      <c r="D34" s="61"/>
      <c r="E34" s="61"/>
      <c r="F34" s="61"/>
      <c r="G34" s="61"/>
      <c r="H34" s="62">
        <v>165000.0</v>
      </c>
    </row>
    <row r="35" ht="15.75" customHeight="1">
      <c r="A35" s="63" t="s">
        <v>4</v>
      </c>
      <c r="B35" s="61"/>
      <c r="C35" s="61"/>
      <c r="D35" s="61"/>
      <c r="E35" s="61"/>
      <c r="F35" s="61"/>
      <c r="G35" s="61"/>
      <c r="H35" s="64"/>
    </row>
    <row r="36" ht="15.75" customHeight="1">
      <c r="A36" s="61"/>
      <c r="B36" s="65" t="s">
        <v>32</v>
      </c>
      <c r="C36" s="65" t="s">
        <v>33</v>
      </c>
      <c r="D36" s="65" t="s">
        <v>34</v>
      </c>
      <c r="E36" s="65" t="s">
        <v>28</v>
      </c>
      <c r="F36" s="65" t="s">
        <v>29</v>
      </c>
      <c r="G36" s="65" t="s">
        <v>35</v>
      </c>
      <c r="H36" s="61"/>
      <c r="K36" s="21"/>
      <c r="L36" s="21"/>
      <c r="M36" s="21"/>
      <c r="N36" s="21"/>
      <c r="O36" s="21"/>
      <c r="P36" s="21"/>
      <c r="Q36" s="21"/>
    </row>
    <row r="37" ht="15.75" customHeight="1">
      <c r="A37" s="30" t="s">
        <v>36</v>
      </c>
      <c r="B37" s="66"/>
      <c r="C37" s="66"/>
      <c r="D37" s="20" t="s">
        <v>37</v>
      </c>
      <c r="E37" s="67">
        <f t="shared" ref="E37:E39" si="4">F37*0.25</f>
        <v>788906.25</v>
      </c>
      <c r="F37" s="67">
        <f t="shared" ref="F37:F39" si="5">sum(1000*H37)/G37*0.85</f>
        <v>3155625</v>
      </c>
      <c r="G37" s="68">
        <v>20.0</v>
      </c>
      <c r="H37" s="69">
        <f>H34*0.45</f>
        <v>74250</v>
      </c>
      <c r="K37" s="21"/>
      <c r="L37" s="21"/>
      <c r="M37" s="21"/>
      <c r="N37" s="21"/>
      <c r="O37" s="21"/>
      <c r="P37" s="21"/>
      <c r="Q37" s="21"/>
    </row>
    <row r="38" ht="15.75" customHeight="1">
      <c r="A38" s="30" t="s">
        <v>38</v>
      </c>
      <c r="B38" s="66"/>
      <c r="C38" s="66"/>
      <c r="D38" s="20" t="s">
        <v>37</v>
      </c>
      <c r="E38" s="67">
        <f t="shared" si="4"/>
        <v>1051875</v>
      </c>
      <c r="F38" s="67">
        <f t="shared" si="5"/>
        <v>4207500</v>
      </c>
      <c r="G38" s="68">
        <v>15.0</v>
      </c>
      <c r="H38" s="49">
        <f>H34*0.45</f>
        <v>74250</v>
      </c>
      <c r="K38" s="21"/>
      <c r="L38" s="21"/>
      <c r="M38" s="21"/>
      <c r="N38" s="21"/>
      <c r="O38" s="21"/>
      <c r="P38" s="21"/>
      <c r="Q38" s="21"/>
    </row>
    <row r="39" ht="15.75" customHeight="1">
      <c r="A39" s="31" t="s">
        <v>39</v>
      </c>
      <c r="B39" s="66"/>
      <c r="C39" s="66"/>
      <c r="D39" s="20" t="s">
        <v>37</v>
      </c>
      <c r="E39" s="67">
        <f t="shared" si="4"/>
        <v>87656.25</v>
      </c>
      <c r="F39" s="67">
        <f t="shared" si="5"/>
        <v>350625</v>
      </c>
      <c r="G39" s="70">
        <v>40.0</v>
      </c>
      <c r="H39" s="44">
        <f>H34*0.1</f>
        <v>16500</v>
      </c>
      <c r="I39" s="44"/>
      <c r="K39" s="21"/>
      <c r="L39" s="21"/>
      <c r="M39" s="21"/>
      <c r="N39" s="21"/>
      <c r="O39" s="21"/>
      <c r="P39" s="21"/>
      <c r="Q39" s="21"/>
    </row>
    <row r="40" ht="15.75" customHeight="1">
      <c r="A40" s="61" t="s">
        <v>24</v>
      </c>
      <c r="B40" s="61"/>
      <c r="C40" s="61"/>
      <c r="D40" s="61"/>
      <c r="E40" s="72">
        <f>(F40*0.25)/1000</f>
        <v>1928.4375</v>
      </c>
      <c r="F40" s="73">
        <f>sum(F37:F39)</f>
        <v>7713750</v>
      </c>
      <c r="G40" s="74"/>
      <c r="H40" s="75">
        <f>sum(H37:H39)</f>
        <v>165000</v>
      </c>
      <c r="I40" s="48"/>
      <c r="J40" s="71"/>
      <c r="K40" s="21"/>
      <c r="L40" s="21"/>
      <c r="M40" s="21"/>
      <c r="N40" s="21"/>
      <c r="O40" s="21"/>
      <c r="P40" s="21"/>
      <c r="Q40" s="2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</row>
    <row r="41" ht="15.75" customHeight="1">
      <c r="A41" s="76"/>
      <c r="B41" s="77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7"/>
      <c r="B42" s="132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55" t="s">
        <v>27</v>
      </c>
      <c r="B43" s="55"/>
      <c r="C43" s="55"/>
      <c r="D43" s="55"/>
      <c r="E43" s="55"/>
      <c r="F43" s="56"/>
      <c r="G43" s="56"/>
      <c r="H43" s="57"/>
      <c r="J43" s="4"/>
      <c r="K43" s="4"/>
      <c r="L43" s="4"/>
    </row>
    <row r="44" ht="15.75" customHeight="1">
      <c r="A44" s="55"/>
      <c r="B44" s="55"/>
      <c r="C44" s="55"/>
      <c r="D44" s="55"/>
      <c r="E44" s="56" t="s">
        <v>28</v>
      </c>
      <c r="F44" s="56" t="s">
        <v>29</v>
      </c>
      <c r="G44" s="56" t="s">
        <v>30</v>
      </c>
      <c r="H44" s="57"/>
      <c r="J44" s="4"/>
      <c r="K44" s="4"/>
      <c r="L44" s="4"/>
    </row>
    <row r="45" ht="15.75" customHeight="1">
      <c r="A45" s="55"/>
      <c r="B45" s="55"/>
      <c r="C45" s="55"/>
      <c r="D45" s="55"/>
      <c r="E45" s="55">
        <f>(E26+E40)*1000</f>
        <v>2543437.5</v>
      </c>
      <c r="F45" s="80">
        <f>(F26+F40)</f>
        <v>7714775</v>
      </c>
      <c r="G45" s="80">
        <f>(I2+H34)/F45*1000</f>
        <v>122.4922308</v>
      </c>
      <c r="H45" s="57"/>
      <c r="J45" s="4"/>
      <c r="K45" s="4"/>
      <c r="L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10">
        <v>698400.0</v>
      </c>
      <c r="I2" s="111">
        <v>720000.0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4"/>
      <c r="I3" s="4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12">
        <v>224235.0</v>
      </c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H4/I2</f>
        <v>0.3114375</v>
      </c>
    </row>
    <row r="6" ht="15.75" customHeight="1">
      <c r="H6" s="16"/>
    </row>
    <row r="7" ht="15.75" customHeight="1">
      <c r="A7" s="113" t="s">
        <v>3</v>
      </c>
      <c r="B7" s="114"/>
      <c r="C7" s="114"/>
      <c r="D7" s="114"/>
      <c r="E7" s="114"/>
      <c r="F7" s="114"/>
      <c r="G7" s="114"/>
      <c r="H7" s="115">
        <v>60000.0</v>
      </c>
    </row>
    <row r="8" ht="15.75" customHeight="1">
      <c r="H8" s="16"/>
    </row>
    <row r="9">
      <c r="A9" s="17" t="s">
        <v>5</v>
      </c>
      <c r="B9" s="17"/>
      <c r="C9" s="17"/>
      <c r="D9" s="17"/>
      <c r="E9" s="17"/>
      <c r="F9" s="17"/>
      <c r="G9" s="17"/>
      <c r="H9" s="17"/>
      <c r="I9" s="18"/>
    </row>
    <row r="10">
      <c r="A10" s="22" t="s">
        <v>6</v>
      </c>
      <c r="B10" s="22" t="s">
        <v>7</v>
      </c>
      <c r="C10" s="22" t="s">
        <v>8</v>
      </c>
      <c r="D10" s="22" t="s">
        <v>9</v>
      </c>
      <c r="E10" s="22" t="s">
        <v>28</v>
      </c>
      <c r="F10" s="22" t="s">
        <v>11</v>
      </c>
      <c r="G10" s="22" t="s">
        <v>12</v>
      </c>
      <c r="H10" s="22" t="s">
        <v>13</v>
      </c>
      <c r="I10" s="18"/>
    </row>
    <row r="11">
      <c r="A11" s="24" t="s">
        <v>16</v>
      </c>
      <c r="B11" s="20">
        <v>125.0</v>
      </c>
      <c r="C11" s="30"/>
      <c r="D11" s="31" t="s">
        <v>17</v>
      </c>
      <c r="E11" s="32">
        <f t="shared" ref="E11:E24" si="1">F11*0.6</f>
        <v>54</v>
      </c>
      <c r="F11" s="20">
        <v>90.0</v>
      </c>
      <c r="G11" s="20">
        <v>480.0</v>
      </c>
      <c r="H11" s="66">
        <f t="shared" ref="H11:H24" si="2">F11*G11</f>
        <v>43200</v>
      </c>
    </row>
    <row r="12">
      <c r="A12" s="24" t="s">
        <v>16</v>
      </c>
      <c r="B12" s="20">
        <v>125.0</v>
      </c>
      <c r="C12" s="30"/>
      <c r="D12" s="31" t="s">
        <v>17</v>
      </c>
      <c r="E12" s="32">
        <f t="shared" si="1"/>
        <v>54</v>
      </c>
      <c r="F12" s="20">
        <v>90.0</v>
      </c>
      <c r="G12" s="20">
        <v>480.0</v>
      </c>
      <c r="H12" s="66">
        <f t="shared" si="2"/>
        <v>43200</v>
      </c>
      <c r="K12" s="25"/>
      <c r="L12" s="26" t="s">
        <v>14</v>
      </c>
      <c r="M12" s="27"/>
      <c r="N12" s="28" t="s">
        <v>15</v>
      </c>
      <c r="O12" s="29"/>
    </row>
    <row r="13">
      <c r="A13" s="24" t="s">
        <v>16</v>
      </c>
      <c r="B13" s="20">
        <v>75.0</v>
      </c>
      <c r="C13" s="30"/>
      <c r="D13" s="31" t="s">
        <v>17</v>
      </c>
      <c r="E13" s="32">
        <f t="shared" si="1"/>
        <v>30</v>
      </c>
      <c r="F13" s="20">
        <v>50.0</v>
      </c>
      <c r="G13" s="20">
        <v>480.0</v>
      </c>
      <c r="H13" s="66">
        <f t="shared" si="2"/>
        <v>24000</v>
      </c>
      <c r="K13" s="35" t="s">
        <v>18</v>
      </c>
      <c r="L13" s="116">
        <f>H11+H12+H13+H14+H15+H16</f>
        <v>182400</v>
      </c>
      <c r="M13" s="37">
        <f>L13/H25</f>
        <v>0.4840764331</v>
      </c>
      <c r="N13" s="38">
        <f>F11+F12+F13+F14+F15+F16</f>
        <v>380</v>
      </c>
      <c r="O13" s="37">
        <f>N13/F25</f>
        <v>0.4130434783</v>
      </c>
    </row>
    <row r="14">
      <c r="A14" s="24" t="s">
        <v>16</v>
      </c>
      <c r="B14" s="20">
        <v>75.0</v>
      </c>
      <c r="C14" s="30"/>
      <c r="D14" s="31" t="s">
        <v>17</v>
      </c>
      <c r="E14" s="32">
        <f t="shared" si="1"/>
        <v>30</v>
      </c>
      <c r="F14" s="20">
        <v>50.0</v>
      </c>
      <c r="G14" s="20">
        <v>480.0</v>
      </c>
      <c r="H14" s="66">
        <f t="shared" si="2"/>
        <v>24000</v>
      </c>
      <c r="K14" s="35" t="s">
        <v>19</v>
      </c>
      <c r="L14" s="116">
        <f>H17+H18+H19+H20+H21+H22</f>
        <v>158400</v>
      </c>
      <c r="M14" s="37">
        <f>L14/H25</f>
        <v>0.4203821656</v>
      </c>
      <c r="N14" s="38">
        <f>F17+F18+F19+F20+F21+F22</f>
        <v>440</v>
      </c>
      <c r="O14" s="37">
        <f>N14/F25</f>
        <v>0.4782608696</v>
      </c>
    </row>
    <row r="15">
      <c r="A15" s="24" t="s">
        <v>16</v>
      </c>
      <c r="B15" s="20">
        <v>75.0</v>
      </c>
      <c r="C15" s="30"/>
      <c r="D15" s="31" t="s">
        <v>17</v>
      </c>
      <c r="E15" s="32">
        <f t="shared" si="1"/>
        <v>30</v>
      </c>
      <c r="F15" s="20">
        <v>50.0</v>
      </c>
      <c r="G15" s="20">
        <v>480.0</v>
      </c>
      <c r="H15" s="66">
        <f t="shared" si="2"/>
        <v>24000</v>
      </c>
      <c r="K15" s="39" t="s">
        <v>20</v>
      </c>
      <c r="L15" s="117">
        <f>H23+H24</f>
        <v>36000</v>
      </c>
      <c r="M15" s="41">
        <f>L15/H25</f>
        <v>0.09554140127</v>
      </c>
      <c r="N15" s="42">
        <f>F23+F24</f>
        <v>100</v>
      </c>
      <c r="O15" s="41">
        <f>N15/F25</f>
        <v>0.1086956522</v>
      </c>
    </row>
    <row r="16">
      <c r="A16" s="24" t="s">
        <v>16</v>
      </c>
      <c r="B16" s="20">
        <v>75.0</v>
      </c>
      <c r="C16" s="30"/>
      <c r="D16" s="31" t="s">
        <v>17</v>
      </c>
      <c r="E16" s="32">
        <f t="shared" si="1"/>
        <v>30</v>
      </c>
      <c r="F16" s="20">
        <v>50.0</v>
      </c>
      <c r="G16" s="20">
        <v>480.0</v>
      </c>
      <c r="H16" s="66">
        <f t="shared" si="2"/>
        <v>24000</v>
      </c>
    </row>
    <row r="17">
      <c r="A17" s="118" t="s">
        <v>21</v>
      </c>
      <c r="B17" s="119">
        <v>125.0</v>
      </c>
      <c r="C17" s="120"/>
      <c r="D17" s="119" t="s">
        <v>17</v>
      </c>
      <c r="E17" s="32">
        <f t="shared" si="1"/>
        <v>60</v>
      </c>
      <c r="F17" s="20">
        <v>100.0</v>
      </c>
      <c r="G17" s="31">
        <v>360.0</v>
      </c>
      <c r="H17" s="66">
        <f t="shared" si="2"/>
        <v>36000</v>
      </c>
    </row>
    <row r="18">
      <c r="A18" s="118" t="s">
        <v>21</v>
      </c>
      <c r="B18" s="119">
        <v>125.0</v>
      </c>
      <c r="C18" s="120"/>
      <c r="D18" s="119" t="s">
        <v>17</v>
      </c>
      <c r="E18" s="32">
        <f t="shared" si="1"/>
        <v>60</v>
      </c>
      <c r="F18" s="20">
        <v>100.0</v>
      </c>
      <c r="G18" s="121">
        <v>360.0</v>
      </c>
      <c r="H18" s="122">
        <f t="shared" si="2"/>
        <v>36000</v>
      </c>
    </row>
    <row r="19" ht="15.75" customHeight="1">
      <c r="A19" s="118" t="s">
        <v>21</v>
      </c>
      <c r="B19" s="119">
        <v>75.0</v>
      </c>
      <c r="C19" s="120"/>
      <c r="D19" s="119" t="s">
        <v>17</v>
      </c>
      <c r="E19" s="32">
        <f t="shared" si="1"/>
        <v>36</v>
      </c>
      <c r="F19" s="20">
        <v>60.0</v>
      </c>
      <c r="G19" s="31">
        <v>360.0</v>
      </c>
      <c r="H19" s="66">
        <f t="shared" si="2"/>
        <v>21600</v>
      </c>
      <c r="K19" s="21"/>
      <c r="L19" s="21"/>
      <c r="M19" s="21"/>
      <c r="N19" s="21"/>
      <c r="O19" s="21"/>
      <c r="P19" s="21"/>
      <c r="Q19" s="21"/>
    </row>
    <row r="20" ht="15.75" customHeight="1">
      <c r="A20" s="118" t="s">
        <v>21</v>
      </c>
      <c r="B20" s="119">
        <v>75.0</v>
      </c>
      <c r="C20" s="120"/>
      <c r="D20" s="119" t="s">
        <v>17</v>
      </c>
      <c r="E20" s="32">
        <f t="shared" si="1"/>
        <v>36</v>
      </c>
      <c r="F20" s="20">
        <v>60.0</v>
      </c>
      <c r="G20" s="31">
        <v>360.0</v>
      </c>
      <c r="H20" s="66">
        <f t="shared" si="2"/>
        <v>21600</v>
      </c>
      <c r="J20" s="123"/>
      <c r="K20" s="71"/>
      <c r="L20" s="31"/>
      <c r="M20" s="31"/>
      <c r="N20" s="31"/>
      <c r="O20" s="21"/>
      <c r="P20" s="21"/>
      <c r="Q20" s="21"/>
    </row>
    <row r="21" ht="15.75" customHeight="1">
      <c r="A21" s="118" t="s">
        <v>21</v>
      </c>
      <c r="B21" s="119">
        <v>75.0</v>
      </c>
      <c r="C21" s="120"/>
      <c r="D21" s="119" t="s">
        <v>17</v>
      </c>
      <c r="E21" s="32">
        <f t="shared" si="1"/>
        <v>36</v>
      </c>
      <c r="F21" s="20">
        <v>60.0</v>
      </c>
      <c r="G21" s="31">
        <v>360.0</v>
      </c>
      <c r="H21" s="66">
        <f t="shared" si="2"/>
        <v>21600</v>
      </c>
      <c r="J21" s="124"/>
      <c r="K21" s="125"/>
      <c r="L21" s="126"/>
      <c r="M21" s="21"/>
      <c r="N21" s="68"/>
      <c r="O21" s="21"/>
      <c r="P21" s="21"/>
      <c r="Q21" s="21"/>
    </row>
    <row r="22" ht="15.75" customHeight="1">
      <c r="A22" s="118" t="s">
        <v>21</v>
      </c>
      <c r="B22" s="119">
        <v>75.0</v>
      </c>
      <c r="C22" s="120"/>
      <c r="D22" s="119" t="s">
        <v>17</v>
      </c>
      <c r="E22" s="32">
        <f t="shared" si="1"/>
        <v>36</v>
      </c>
      <c r="F22" s="20">
        <v>60.0</v>
      </c>
      <c r="G22" s="31">
        <v>360.0</v>
      </c>
      <c r="H22" s="66">
        <f t="shared" si="2"/>
        <v>21600</v>
      </c>
      <c r="J22" s="127"/>
      <c r="K22" s="31"/>
      <c r="L22" s="128"/>
      <c r="M22" s="48"/>
      <c r="N22" s="68"/>
      <c r="O22" s="44"/>
      <c r="P22" s="48"/>
      <c r="Q22" s="21"/>
    </row>
    <row r="23" ht="15.75" customHeight="1">
      <c r="A23" s="24" t="s">
        <v>22</v>
      </c>
      <c r="B23" s="20" t="s">
        <v>23</v>
      </c>
      <c r="C23" s="30"/>
      <c r="D23" s="21"/>
      <c r="E23" s="66">
        <f t="shared" si="1"/>
        <v>30</v>
      </c>
      <c r="F23" s="20">
        <v>50.0</v>
      </c>
      <c r="G23" s="20">
        <v>360.0</v>
      </c>
      <c r="H23" s="66">
        <f t="shared" si="2"/>
        <v>18000</v>
      </c>
      <c r="J23" s="71"/>
      <c r="K23" s="21"/>
      <c r="L23" s="129"/>
      <c r="M23" s="129"/>
      <c r="N23" s="68"/>
      <c r="O23" s="44"/>
      <c r="P23" s="44"/>
      <c r="Q23" s="21"/>
    </row>
    <row r="24" ht="15.75" customHeight="1">
      <c r="A24" s="24" t="s">
        <v>22</v>
      </c>
      <c r="B24" s="20" t="s">
        <v>23</v>
      </c>
      <c r="C24" s="30"/>
      <c r="D24" s="21"/>
      <c r="E24" s="66">
        <f t="shared" si="1"/>
        <v>30</v>
      </c>
      <c r="F24" s="20">
        <v>50.0</v>
      </c>
      <c r="G24" s="20">
        <v>360.0</v>
      </c>
      <c r="H24" s="66">
        <f t="shared" si="2"/>
        <v>18000</v>
      </c>
      <c r="J24" s="71"/>
      <c r="K24" s="21"/>
      <c r="L24" s="129"/>
      <c r="M24" s="129"/>
      <c r="N24" s="68"/>
      <c r="O24" s="44"/>
      <c r="P24" s="44"/>
      <c r="Q24" s="21"/>
    </row>
    <row r="25" ht="15.75" customHeight="1">
      <c r="A25" s="17" t="s">
        <v>24</v>
      </c>
      <c r="B25" s="17"/>
      <c r="C25" s="17"/>
      <c r="D25" s="17"/>
      <c r="E25" s="50">
        <f>sum(E11:E24)</f>
        <v>552</v>
      </c>
      <c r="F25" s="17">
        <f>SUM(F11:F24)</f>
        <v>920</v>
      </c>
      <c r="G25" s="17"/>
      <c r="H25" s="17">
        <f>sum(H11:H24)</f>
        <v>376800</v>
      </c>
      <c r="I25" s="52" t="s">
        <v>25</v>
      </c>
      <c r="J25" s="4"/>
      <c r="K25" s="43"/>
      <c r="L25" s="44"/>
      <c r="M25" s="21"/>
      <c r="N25" s="21"/>
      <c r="O25" s="21"/>
      <c r="P25" s="21"/>
      <c r="Q25" s="21"/>
    </row>
    <row r="26" ht="15.75" customHeight="1">
      <c r="A26" s="38">
        <f>COUNTA(A11:A24)</f>
        <v>14</v>
      </c>
      <c r="H26" s="130">
        <f>I26*0.925</f>
        <v>383102.625</v>
      </c>
      <c r="I26" s="131">
        <f>H2-H4-H7</f>
        <v>414165</v>
      </c>
      <c r="J26" s="4"/>
      <c r="K26" s="43"/>
      <c r="L26" s="44"/>
      <c r="M26" s="21"/>
      <c r="N26" s="21"/>
      <c r="O26" s="21"/>
      <c r="P26" s="21"/>
      <c r="Q26" s="21"/>
    </row>
    <row r="27" ht="15.75" customHeight="1">
      <c r="J27" s="4"/>
      <c r="K27" s="43"/>
      <c r="L27" s="44"/>
      <c r="M27" s="21"/>
      <c r="N27" s="21"/>
      <c r="O27" s="21"/>
      <c r="P27" s="21"/>
      <c r="Q27" s="21"/>
    </row>
    <row r="28" ht="15.75" customHeight="1">
      <c r="A28" s="55" t="s">
        <v>27</v>
      </c>
      <c r="B28" s="55"/>
      <c r="C28" s="55"/>
      <c r="D28" s="55"/>
      <c r="E28" s="55"/>
      <c r="F28" s="56"/>
      <c r="G28" s="56"/>
      <c r="H28" s="57"/>
      <c r="J28" s="4"/>
      <c r="K28" s="4"/>
      <c r="L28" s="4"/>
    </row>
    <row r="29" ht="15.75" customHeight="1">
      <c r="A29" s="55"/>
      <c r="B29" s="55"/>
      <c r="C29" s="55"/>
      <c r="D29" s="55"/>
      <c r="E29" s="56" t="s">
        <v>28</v>
      </c>
      <c r="F29" s="56" t="s">
        <v>29</v>
      </c>
      <c r="G29" s="56" t="s">
        <v>30</v>
      </c>
      <c r="H29" s="57"/>
      <c r="J29" s="4"/>
      <c r="K29" s="4"/>
      <c r="L29" s="4"/>
    </row>
    <row r="30" ht="15.75" customHeight="1">
      <c r="A30" s="55"/>
      <c r="B30" s="55"/>
      <c r="C30" s="55"/>
      <c r="D30" s="55"/>
      <c r="E30" s="55">
        <f t="shared" ref="E30:F30" si="3">E25*1000</f>
        <v>552000</v>
      </c>
      <c r="F30" s="58">
        <f t="shared" si="3"/>
        <v>920000</v>
      </c>
      <c r="G30" s="59">
        <f>(I2/F30)*1000</f>
        <v>782.6086957</v>
      </c>
      <c r="H30" s="57"/>
      <c r="J30" s="4"/>
      <c r="K30" s="4"/>
      <c r="L30" s="4"/>
    </row>
    <row r="31" ht="15.75" customHeight="1">
      <c r="J31" s="4"/>
      <c r="K31" s="43"/>
      <c r="L31" s="44"/>
      <c r="M31" s="21"/>
      <c r="N31" s="21"/>
      <c r="O31" s="21"/>
      <c r="P31" s="21"/>
      <c r="Q31" s="21"/>
    </row>
    <row r="32" ht="15.75" customHeight="1">
      <c r="J32" s="4"/>
      <c r="K32" s="48"/>
      <c r="L32" s="48"/>
      <c r="M32" s="21"/>
      <c r="N32" s="21"/>
      <c r="O32" s="21"/>
      <c r="P32" s="21"/>
      <c r="Q32" s="21"/>
    </row>
    <row r="33" ht="15.75" customHeight="1">
      <c r="A33" s="61" t="s">
        <v>31</v>
      </c>
      <c r="B33" s="61"/>
      <c r="C33" s="61"/>
      <c r="D33" s="61"/>
      <c r="E33" s="61"/>
      <c r="F33" s="61"/>
      <c r="G33" s="61"/>
      <c r="H33" s="62">
        <v>120000.0</v>
      </c>
    </row>
    <row r="34" ht="15.75" customHeight="1">
      <c r="A34" s="63" t="s">
        <v>4</v>
      </c>
      <c r="B34" s="61"/>
      <c r="C34" s="61"/>
      <c r="D34" s="61"/>
      <c r="E34" s="61"/>
      <c r="F34" s="61"/>
      <c r="G34" s="61"/>
      <c r="H34" s="64"/>
    </row>
    <row r="35" ht="15.75" customHeight="1">
      <c r="A35" s="61"/>
      <c r="B35" s="65" t="s">
        <v>32</v>
      </c>
      <c r="C35" s="65" t="s">
        <v>33</v>
      </c>
      <c r="D35" s="65" t="s">
        <v>34</v>
      </c>
      <c r="E35" s="65" t="s">
        <v>28</v>
      </c>
      <c r="F35" s="65" t="s">
        <v>29</v>
      </c>
      <c r="G35" s="65" t="s">
        <v>35</v>
      </c>
      <c r="H35" s="61"/>
      <c r="K35" s="21"/>
      <c r="L35" s="21"/>
      <c r="M35" s="21"/>
      <c r="N35" s="21"/>
      <c r="O35" s="21"/>
      <c r="P35" s="21"/>
      <c r="Q35" s="21"/>
    </row>
    <row r="36" ht="15.75" customHeight="1">
      <c r="A36" s="30" t="s">
        <v>36</v>
      </c>
      <c r="B36" s="66"/>
      <c r="C36" s="66"/>
      <c r="D36" s="20" t="s">
        <v>49</v>
      </c>
      <c r="E36" s="67">
        <f t="shared" ref="E36:E38" si="4">F36*0.25</f>
        <v>573750</v>
      </c>
      <c r="F36" s="67">
        <f t="shared" ref="F36:F38" si="5">sum(1000*H36)/G36*0.85</f>
        <v>2295000</v>
      </c>
      <c r="G36" s="68">
        <v>20.0</v>
      </c>
      <c r="H36" s="69">
        <f>H33*0.45</f>
        <v>54000</v>
      </c>
      <c r="K36" s="21"/>
      <c r="L36" s="21"/>
      <c r="M36" s="21"/>
      <c r="N36" s="21"/>
      <c r="O36" s="21"/>
      <c r="P36" s="21"/>
      <c r="Q36" s="21"/>
    </row>
    <row r="37" ht="15.75" customHeight="1">
      <c r="A37" s="30" t="s">
        <v>38</v>
      </c>
      <c r="B37" s="66"/>
      <c r="C37" s="66"/>
      <c r="D37" s="20" t="s">
        <v>50</v>
      </c>
      <c r="E37" s="67">
        <f t="shared" si="4"/>
        <v>765000</v>
      </c>
      <c r="F37" s="67">
        <f t="shared" si="5"/>
        <v>3060000</v>
      </c>
      <c r="G37" s="68">
        <v>15.0</v>
      </c>
      <c r="H37" s="49">
        <f>H33*0.45</f>
        <v>54000</v>
      </c>
      <c r="K37" s="21"/>
      <c r="L37" s="21"/>
      <c r="M37" s="21"/>
      <c r="N37" s="21"/>
      <c r="O37" s="21"/>
      <c r="P37" s="21"/>
      <c r="Q37" s="21"/>
    </row>
    <row r="38" ht="15.75" customHeight="1">
      <c r="A38" s="31" t="s">
        <v>39</v>
      </c>
      <c r="B38" s="66"/>
      <c r="C38" s="66"/>
      <c r="D38" s="20" t="s">
        <v>37</v>
      </c>
      <c r="E38" s="67">
        <f t="shared" si="4"/>
        <v>63750</v>
      </c>
      <c r="F38" s="67">
        <f t="shared" si="5"/>
        <v>255000</v>
      </c>
      <c r="G38" s="70">
        <v>40.0</v>
      </c>
      <c r="H38" s="44">
        <f>H33*0.1</f>
        <v>12000</v>
      </c>
      <c r="I38" s="44"/>
      <c r="K38" s="21"/>
      <c r="L38" s="21"/>
      <c r="M38" s="21"/>
      <c r="N38" s="21"/>
      <c r="O38" s="21"/>
      <c r="P38" s="21"/>
      <c r="Q38" s="21"/>
    </row>
    <row r="39" ht="15.75" customHeight="1">
      <c r="A39" s="61" t="s">
        <v>24</v>
      </c>
      <c r="B39" s="61"/>
      <c r="C39" s="61"/>
      <c r="D39" s="61"/>
      <c r="E39" s="72">
        <f>(F39*0.25)/1000</f>
        <v>1.4025</v>
      </c>
      <c r="F39" s="73">
        <f>sum(F36:F38)/1000</f>
        <v>5610</v>
      </c>
      <c r="G39" s="74"/>
      <c r="H39" s="75">
        <f>sum(H36:H38)</f>
        <v>120000</v>
      </c>
      <c r="I39" s="48"/>
      <c r="J39" s="71"/>
      <c r="K39" s="21"/>
      <c r="L39" s="21"/>
      <c r="M39" s="21"/>
      <c r="N39" s="21"/>
      <c r="O39" s="21"/>
      <c r="P39" s="21"/>
      <c r="Q39" s="2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</row>
    <row r="40" ht="15.75" customHeight="1">
      <c r="A40" s="76"/>
      <c r="B40" s="77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7"/>
      <c r="B41" s="132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55" t="s">
        <v>27</v>
      </c>
      <c r="B42" s="55"/>
      <c r="C42" s="55"/>
      <c r="D42" s="55"/>
      <c r="E42" s="55"/>
      <c r="F42" s="56"/>
      <c r="G42" s="56"/>
      <c r="H42" s="57"/>
      <c r="J42" s="4"/>
      <c r="K42" s="4"/>
      <c r="L42" s="4"/>
    </row>
    <row r="43" ht="15.75" customHeight="1">
      <c r="A43" s="55"/>
      <c r="B43" s="55"/>
      <c r="C43" s="55"/>
      <c r="D43" s="55"/>
      <c r="E43" s="56" t="s">
        <v>28</v>
      </c>
      <c r="F43" s="56" t="s">
        <v>29</v>
      </c>
      <c r="G43" s="56" t="s">
        <v>30</v>
      </c>
      <c r="H43" s="57"/>
      <c r="J43" s="4"/>
      <c r="K43" s="4"/>
      <c r="L43" s="4"/>
    </row>
    <row r="44" ht="15.75" customHeight="1">
      <c r="A44" s="55"/>
      <c r="B44" s="55"/>
      <c r="C44" s="55"/>
      <c r="D44" s="55"/>
      <c r="E44" s="55">
        <f t="shared" ref="E44:F44" si="6">(E25+E39)*1000</f>
        <v>553402.5</v>
      </c>
      <c r="F44" s="58">
        <f t="shared" si="6"/>
        <v>6530000</v>
      </c>
      <c r="G44" s="80">
        <f>(I2+H33)/F44*1000</f>
        <v>128.6370597</v>
      </c>
      <c r="H44" s="57"/>
      <c r="J44" s="4"/>
      <c r="K44" s="4"/>
      <c r="L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f>I2*0.97</f>
        <v>388000</v>
      </c>
      <c r="I2" s="6">
        <v>400000.0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9"/>
      <c r="I3" s="9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33">
        <v>127215.0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0.3278737113</v>
      </c>
      <c r="I5" s="13">
        <f>H2*0.3</f>
        <v>116400</v>
      </c>
    </row>
    <row r="6" ht="15.75" customHeight="1">
      <c r="H6" s="16"/>
    </row>
    <row r="7" ht="15.75" customHeight="1">
      <c r="A7" s="17" t="s">
        <v>5</v>
      </c>
      <c r="B7" s="17"/>
      <c r="C7" s="17"/>
      <c r="D7" s="17"/>
      <c r="E7" s="17"/>
      <c r="F7" s="17"/>
      <c r="G7" s="17"/>
      <c r="H7" s="17"/>
      <c r="I7" s="18"/>
      <c r="J7" s="19"/>
      <c r="L7" s="19"/>
      <c r="N7" s="20"/>
      <c r="O7" s="21"/>
      <c r="P7" s="21"/>
      <c r="Q7" s="21"/>
    </row>
    <row r="8" ht="15.75" customHeight="1">
      <c r="A8" s="22" t="s">
        <v>6</v>
      </c>
      <c r="B8" s="22" t="s">
        <v>7</v>
      </c>
      <c r="C8" s="22" t="s">
        <v>8</v>
      </c>
      <c r="D8" s="22" t="s">
        <v>9</v>
      </c>
      <c r="E8" s="22" t="s">
        <v>10</v>
      </c>
      <c r="F8" s="22" t="s">
        <v>11</v>
      </c>
      <c r="G8" s="22" t="s">
        <v>12</v>
      </c>
      <c r="H8" s="22" t="s">
        <v>13</v>
      </c>
      <c r="I8" s="18"/>
      <c r="J8" s="23"/>
      <c r="K8" s="24"/>
      <c r="L8" s="13"/>
      <c r="N8" s="30"/>
      <c r="O8" s="21"/>
      <c r="P8" s="21"/>
      <c r="Q8" s="21"/>
    </row>
    <row r="9" ht="15.75" customHeight="1">
      <c r="A9" s="24" t="s">
        <v>16</v>
      </c>
      <c r="B9" s="20">
        <v>100.0</v>
      </c>
      <c r="C9" s="30"/>
      <c r="D9" s="31" t="s">
        <v>17</v>
      </c>
      <c r="E9" s="32">
        <f t="shared" ref="E9:E16" si="1">F9*0.6</f>
        <v>42</v>
      </c>
      <c r="F9" s="134">
        <f t="shared" ref="F9:F12" si="2">B9*0.7</f>
        <v>70</v>
      </c>
      <c r="G9" s="20">
        <v>480.0</v>
      </c>
      <c r="H9" s="33">
        <f t="shared" ref="H9:H16" si="3">F9*G9</f>
        <v>33600</v>
      </c>
      <c r="J9" s="34"/>
      <c r="K9" s="20"/>
      <c r="L9" s="135"/>
      <c r="M9" s="76"/>
      <c r="N9" s="30"/>
      <c r="O9" s="44"/>
      <c r="P9" s="48"/>
      <c r="Q9" s="21"/>
    </row>
    <row r="10" ht="15.75" customHeight="1">
      <c r="A10" s="24" t="s">
        <v>16</v>
      </c>
      <c r="B10" s="20">
        <v>125.0</v>
      </c>
      <c r="C10" s="30"/>
      <c r="D10" s="31" t="s">
        <v>17</v>
      </c>
      <c r="E10" s="32">
        <f t="shared" si="1"/>
        <v>52.5</v>
      </c>
      <c r="F10" s="134">
        <f t="shared" si="2"/>
        <v>87.5</v>
      </c>
      <c r="G10" s="20">
        <v>480.0</v>
      </c>
      <c r="H10" s="33">
        <f t="shared" si="3"/>
        <v>42000</v>
      </c>
      <c r="J10" s="34"/>
      <c r="K10" s="20"/>
      <c r="L10" s="135"/>
      <c r="M10" s="46"/>
      <c r="N10" s="30"/>
      <c r="O10" s="44"/>
      <c r="P10" s="44"/>
      <c r="Q10" s="21"/>
    </row>
    <row r="11" ht="15.75" customHeight="1">
      <c r="A11" s="24" t="s">
        <v>16</v>
      </c>
      <c r="B11" s="20">
        <v>125.0</v>
      </c>
      <c r="C11" s="30"/>
      <c r="D11" s="31" t="s">
        <v>17</v>
      </c>
      <c r="E11" s="32">
        <f t="shared" si="1"/>
        <v>52.5</v>
      </c>
      <c r="F11" s="134">
        <f t="shared" si="2"/>
        <v>87.5</v>
      </c>
      <c r="G11" s="20">
        <v>480.0</v>
      </c>
      <c r="H11" s="33">
        <f t="shared" si="3"/>
        <v>42000</v>
      </c>
      <c r="K11" s="30"/>
      <c r="L11" s="46"/>
      <c r="M11" s="46"/>
      <c r="N11" s="136"/>
      <c r="O11" s="44"/>
      <c r="P11" s="44"/>
      <c r="Q11" s="21"/>
    </row>
    <row r="12" ht="15.75" customHeight="1">
      <c r="A12" s="24" t="s">
        <v>21</v>
      </c>
      <c r="B12" s="20">
        <v>75.0</v>
      </c>
      <c r="C12" s="30"/>
      <c r="D12" s="31" t="s">
        <v>17</v>
      </c>
      <c r="E12" s="32">
        <f t="shared" si="1"/>
        <v>31.5</v>
      </c>
      <c r="F12" s="134">
        <f t="shared" si="2"/>
        <v>52.5</v>
      </c>
      <c r="G12" s="20">
        <v>360.0</v>
      </c>
      <c r="H12" s="33">
        <f t="shared" si="3"/>
        <v>18900</v>
      </c>
      <c r="K12" s="30"/>
      <c r="L12" s="45"/>
      <c r="M12" s="46"/>
      <c r="N12" s="47"/>
      <c r="O12" s="44"/>
      <c r="P12" s="48"/>
      <c r="Q12" s="21"/>
    </row>
    <row r="13" ht="15.75" customHeight="1">
      <c r="A13" s="24" t="s">
        <v>21</v>
      </c>
      <c r="B13" s="20">
        <v>100.0</v>
      </c>
      <c r="C13" s="30"/>
      <c r="D13" s="31" t="s">
        <v>17</v>
      </c>
      <c r="E13" s="32">
        <f t="shared" si="1"/>
        <v>48</v>
      </c>
      <c r="F13" s="134">
        <f t="shared" ref="F13:F14" si="4">B13*0.8</f>
        <v>80</v>
      </c>
      <c r="G13" s="20">
        <v>360.0</v>
      </c>
      <c r="H13" s="33">
        <f t="shared" si="3"/>
        <v>28800</v>
      </c>
      <c r="J13" s="4"/>
      <c r="K13" s="7"/>
      <c r="L13" s="49"/>
      <c r="M13" s="30"/>
      <c r="N13" s="30"/>
      <c r="O13" s="21"/>
      <c r="P13" s="21"/>
      <c r="Q13" s="21"/>
    </row>
    <row r="14" ht="15.75" customHeight="1">
      <c r="A14" s="24" t="s">
        <v>21</v>
      </c>
      <c r="B14" s="20">
        <v>125.0</v>
      </c>
      <c r="C14" s="30"/>
      <c r="D14" s="31" t="s">
        <v>17</v>
      </c>
      <c r="E14" s="32">
        <f t="shared" si="1"/>
        <v>60</v>
      </c>
      <c r="F14" s="134">
        <f t="shared" si="4"/>
        <v>100</v>
      </c>
      <c r="G14" s="20">
        <v>360.0</v>
      </c>
      <c r="H14" s="33">
        <f t="shared" si="3"/>
        <v>36000</v>
      </c>
      <c r="J14" s="4"/>
      <c r="K14" s="43"/>
      <c r="L14" s="44"/>
      <c r="M14" s="21"/>
      <c r="N14" s="21"/>
      <c r="O14" s="21"/>
      <c r="P14" s="21"/>
      <c r="Q14" s="21"/>
    </row>
    <row r="15" ht="15.75" customHeight="1">
      <c r="A15" s="24" t="s">
        <v>22</v>
      </c>
      <c r="B15" s="20" t="s">
        <v>23</v>
      </c>
      <c r="C15" s="30"/>
      <c r="D15" s="31" t="s">
        <v>17</v>
      </c>
      <c r="E15" s="32">
        <f t="shared" si="1"/>
        <v>30</v>
      </c>
      <c r="F15" s="134">
        <v>50.0</v>
      </c>
      <c r="G15" s="20">
        <v>360.0</v>
      </c>
      <c r="H15" s="33">
        <f t="shared" si="3"/>
        <v>18000</v>
      </c>
      <c r="J15" s="4"/>
      <c r="K15" s="43"/>
      <c r="L15" s="44"/>
      <c r="M15" s="21"/>
      <c r="N15" s="21"/>
      <c r="O15" s="21"/>
      <c r="P15" s="21"/>
      <c r="Q15" s="21"/>
    </row>
    <row r="16" ht="15.75" customHeight="1">
      <c r="A16" s="24" t="s">
        <v>22</v>
      </c>
      <c r="B16" s="20" t="s">
        <v>23</v>
      </c>
      <c r="C16" s="30"/>
      <c r="D16" s="31" t="s">
        <v>17</v>
      </c>
      <c r="E16" s="32">
        <f t="shared" si="1"/>
        <v>30</v>
      </c>
      <c r="F16" s="134">
        <v>50.0</v>
      </c>
      <c r="G16" s="20">
        <v>360.0</v>
      </c>
      <c r="H16" s="33">
        <f t="shared" si="3"/>
        <v>18000</v>
      </c>
      <c r="J16" s="4"/>
      <c r="K16" s="48"/>
      <c r="L16" s="48"/>
      <c r="M16" s="21"/>
      <c r="N16" s="21"/>
      <c r="O16" s="21"/>
      <c r="P16" s="21"/>
      <c r="Q16" s="21"/>
    </row>
    <row r="17" ht="15.75" customHeight="1">
      <c r="A17" s="17" t="s">
        <v>24</v>
      </c>
      <c r="B17" s="17"/>
      <c r="C17" s="17"/>
      <c r="D17" s="17"/>
      <c r="E17" s="50">
        <f>sum(E9:E16)</f>
        <v>346.5</v>
      </c>
      <c r="F17" s="50">
        <f>SUM(F9:F16)</f>
        <v>577.5</v>
      </c>
      <c r="G17" s="17"/>
      <c r="H17" s="51">
        <f>sum(H9:H16)</f>
        <v>237300</v>
      </c>
      <c r="I17" s="52" t="s">
        <v>25</v>
      </c>
      <c r="J17" s="4"/>
      <c r="K17" s="48"/>
      <c r="L17" s="48"/>
      <c r="M17" s="21"/>
      <c r="N17" s="21"/>
      <c r="O17" s="21"/>
      <c r="P17" s="21"/>
      <c r="Q17" s="21"/>
    </row>
    <row r="18" ht="15.75" customHeight="1">
      <c r="A18" s="38">
        <f>COUNTA(A9:A16)</f>
        <v>8</v>
      </c>
      <c r="D18" s="24" t="s">
        <v>48</v>
      </c>
      <c r="H18" s="53">
        <f>I18*0.925</f>
        <v>241226.125</v>
      </c>
      <c r="I18" s="54">
        <f>H2-H4</f>
        <v>260785</v>
      </c>
      <c r="J18" s="4"/>
      <c r="K18" s="48"/>
      <c r="L18" s="48"/>
      <c r="M18" s="21"/>
      <c r="N18" s="21"/>
      <c r="O18" s="21"/>
      <c r="P18" s="21"/>
      <c r="Q18" s="21"/>
    </row>
    <row r="19" ht="15.75" customHeight="1">
      <c r="J19" s="4"/>
      <c r="K19" s="4"/>
      <c r="L19" s="4"/>
    </row>
    <row r="20" ht="15.75" customHeight="1">
      <c r="A20" s="55" t="s">
        <v>27</v>
      </c>
      <c r="B20" s="55"/>
      <c r="C20" s="55"/>
      <c r="D20" s="55"/>
      <c r="E20" s="55"/>
      <c r="F20" s="56"/>
      <c r="G20" s="56"/>
      <c r="H20" s="57"/>
      <c r="J20" s="4"/>
      <c r="K20" s="4"/>
      <c r="L20" s="4"/>
    </row>
    <row r="21" ht="15.75" customHeight="1">
      <c r="A21" s="55"/>
      <c r="B21" s="55"/>
      <c r="C21" s="55"/>
      <c r="D21" s="55"/>
      <c r="E21" s="56" t="s">
        <v>28</v>
      </c>
      <c r="F21" s="56" t="s">
        <v>29</v>
      </c>
      <c r="G21" s="56" t="s">
        <v>30</v>
      </c>
      <c r="H21" s="57"/>
      <c r="J21" s="4"/>
      <c r="K21" s="4"/>
      <c r="L21" s="4"/>
    </row>
    <row r="22" ht="15.75" customHeight="1">
      <c r="A22" s="55"/>
      <c r="B22" s="55"/>
      <c r="C22" s="55"/>
      <c r="D22" s="55"/>
      <c r="E22" s="55">
        <f t="shared" ref="E22:F22" si="5">E17*1000</f>
        <v>346500</v>
      </c>
      <c r="F22" s="58">
        <f t="shared" si="5"/>
        <v>577500</v>
      </c>
      <c r="G22" s="59">
        <f>(H2/F22)*1000</f>
        <v>671.8614719</v>
      </c>
      <c r="H22" s="57"/>
      <c r="J22" s="4"/>
      <c r="K22" s="4"/>
      <c r="L22" s="4"/>
    </row>
    <row r="23" ht="15.75" customHeight="1">
      <c r="A23" s="7"/>
      <c r="B23" s="4"/>
      <c r="C23" s="4"/>
      <c r="D23" s="4"/>
      <c r="E23" s="4"/>
      <c r="F23" s="4"/>
      <c r="G23" s="60"/>
      <c r="H23" s="49"/>
      <c r="I23" s="4"/>
      <c r="J23" s="4"/>
      <c r="K23" s="4"/>
      <c r="L23" s="4"/>
    </row>
    <row r="24" ht="15.75" customHeight="1">
      <c r="A24" s="61" t="s">
        <v>31</v>
      </c>
      <c r="B24" s="61"/>
      <c r="C24" s="61"/>
      <c r="D24" s="61"/>
      <c r="E24" s="61"/>
      <c r="F24" s="61"/>
      <c r="G24" s="61"/>
      <c r="H24" s="62">
        <v>70000.0</v>
      </c>
    </row>
    <row r="25" ht="15.75" customHeight="1">
      <c r="A25" s="63" t="s">
        <v>4</v>
      </c>
      <c r="B25" s="61"/>
      <c r="C25" s="61"/>
      <c r="D25" s="61"/>
      <c r="E25" s="61"/>
      <c r="F25" s="61"/>
      <c r="G25" s="61"/>
      <c r="H25" s="64"/>
    </row>
    <row r="26" ht="15.75" customHeight="1">
      <c r="A26" s="61"/>
      <c r="B26" s="65" t="s">
        <v>32</v>
      </c>
      <c r="C26" s="65" t="s">
        <v>33</v>
      </c>
      <c r="D26" s="65" t="s">
        <v>34</v>
      </c>
      <c r="E26" s="65" t="s">
        <v>28</v>
      </c>
      <c r="F26" s="65" t="s">
        <v>29</v>
      </c>
      <c r="G26" s="65" t="s">
        <v>35</v>
      </c>
      <c r="H26" s="61"/>
      <c r="K26" s="21"/>
      <c r="L26" s="21"/>
      <c r="M26" s="21"/>
      <c r="N26" s="21"/>
      <c r="O26" s="21"/>
      <c r="P26" s="21"/>
      <c r="Q26" s="21"/>
    </row>
    <row r="27" ht="15.75" customHeight="1">
      <c r="A27" s="30" t="s">
        <v>51</v>
      </c>
      <c r="B27" s="20">
        <v>8.0</v>
      </c>
      <c r="C27" s="30">
        <v>2000.0</v>
      </c>
      <c r="D27" s="66"/>
      <c r="E27" s="66"/>
      <c r="F27" s="66"/>
      <c r="G27" s="66"/>
      <c r="H27" s="66">
        <f>B27*C27</f>
        <v>16000</v>
      </c>
      <c r="K27" s="21"/>
      <c r="L27" s="21"/>
      <c r="M27" s="21"/>
      <c r="N27" s="21"/>
      <c r="O27" s="21"/>
      <c r="P27" s="21"/>
      <c r="Q27" s="21"/>
    </row>
    <row r="28" ht="15.75" customHeight="1">
      <c r="A28" s="30" t="s">
        <v>36</v>
      </c>
      <c r="B28" s="66"/>
      <c r="C28" s="66"/>
      <c r="D28" s="20" t="s">
        <v>49</v>
      </c>
      <c r="E28" s="67">
        <f t="shared" ref="E28:E31" si="6">F28*0.25</f>
        <v>229500</v>
      </c>
      <c r="F28" s="67">
        <f t="shared" ref="F28:F30" si="7">sum(1000*H28)/G28*0.85</f>
        <v>918000</v>
      </c>
      <c r="G28" s="68">
        <v>20.0</v>
      </c>
      <c r="H28" s="69">
        <v>21600.0</v>
      </c>
      <c r="K28" s="21"/>
      <c r="L28" s="21"/>
      <c r="M28" s="21"/>
      <c r="N28" s="21"/>
      <c r="O28" s="21"/>
      <c r="P28" s="21"/>
      <c r="Q28" s="21"/>
    </row>
    <row r="29" ht="15.75" customHeight="1">
      <c r="A29" s="30" t="s">
        <v>38</v>
      </c>
      <c r="B29" s="66"/>
      <c r="C29" s="66"/>
      <c r="D29" s="20" t="s">
        <v>50</v>
      </c>
      <c r="E29" s="67">
        <f t="shared" si="6"/>
        <v>344250</v>
      </c>
      <c r="F29" s="67">
        <f t="shared" si="7"/>
        <v>1377000</v>
      </c>
      <c r="G29" s="68">
        <v>15.0</v>
      </c>
      <c r="H29" s="49">
        <v>24300.0</v>
      </c>
      <c r="I29" s="44"/>
      <c r="K29" s="21"/>
      <c r="L29" s="21"/>
      <c r="M29" s="21"/>
      <c r="N29" s="21"/>
      <c r="O29" s="21"/>
      <c r="P29" s="21"/>
      <c r="Q29" s="21"/>
    </row>
    <row r="30" ht="15.75" customHeight="1">
      <c r="A30" s="31" t="s">
        <v>39</v>
      </c>
      <c r="B30" s="66"/>
      <c r="C30" s="66"/>
      <c r="D30" s="20" t="s">
        <v>37</v>
      </c>
      <c r="E30" s="67">
        <f t="shared" si="6"/>
        <v>43031.25</v>
      </c>
      <c r="F30" s="67">
        <f t="shared" si="7"/>
        <v>172125</v>
      </c>
      <c r="G30" s="70">
        <v>40.0</v>
      </c>
      <c r="H30" s="44">
        <v>8100.0</v>
      </c>
      <c r="I30" s="48"/>
      <c r="J30" s="71"/>
      <c r="K30" s="21"/>
      <c r="L30" s="21"/>
      <c r="M30" s="21"/>
      <c r="N30" s="21"/>
      <c r="O30" s="21"/>
      <c r="P30" s="21"/>
      <c r="Q30" s="2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</row>
    <row r="31" ht="15.75" customHeight="1">
      <c r="A31" s="61" t="s">
        <v>24</v>
      </c>
      <c r="B31" s="61"/>
      <c r="C31" s="61"/>
      <c r="D31" s="61"/>
      <c r="E31" s="72">
        <f t="shared" si="6"/>
        <v>573750</v>
      </c>
      <c r="F31" s="73">
        <f>sum(F27:F29)</f>
        <v>2295000</v>
      </c>
      <c r="G31" s="74"/>
      <c r="H31" s="75">
        <f>sum(H27:H30)</f>
        <v>70000</v>
      </c>
      <c r="I31" s="48"/>
      <c r="K31" s="21"/>
      <c r="L31" s="21"/>
      <c r="M31" s="21"/>
      <c r="N31" s="21"/>
      <c r="O31" s="21"/>
      <c r="P31" s="21"/>
      <c r="Q31" s="21"/>
    </row>
    <row r="32" ht="15.75" customHeight="1">
      <c r="A32" s="65" t="s">
        <v>4</v>
      </c>
      <c r="B32" s="61"/>
      <c r="C32" s="61"/>
      <c r="D32" s="61"/>
      <c r="E32" s="137"/>
      <c r="F32" s="138"/>
      <c r="G32" s="74"/>
      <c r="H32" s="139" t="str">
        <f>H31/H19</f>
        <v>#DIV/0!</v>
      </c>
      <c r="I32" s="48"/>
      <c r="K32" s="21"/>
      <c r="L32" s="21"/>
      <c r="M32" s="21"/>
      <c r="N32" s="21"/>
      <c r="O32" s="21"/>
      <c r="P32" s="21"/>
      <c r="Q32" s="21"/>
    </row>
    <row r="33" ht="15.75" customHeight="1">
      <c r="A33" s="76"/>
      <c r="B33" s="77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55" t="s">
        <v>27</v>
      </c>
      <c r="B34" s="78" t="s">
        <v>40</v>
      </c>
      <c r="C34" s="55"/>
      <c r="D34" s="55"/>
      <c r="E34" s="55"/>
      <c r="F34" s="56"/>
      <c r="G34" s="56"/>
      <c r="H34" s="57"/>
      <c r="I34" s="24" t="s">
        <v>41</v>
      </c>
      <c r="J34" s="4"/>
      <c r="K34" s="4"/>
      <c r="L34" s="4"/>
    </row>
    <row r="35" ht="15.75" customHeight="1">
      <c r="A35" s="55"/>
      <c r="B35" s="55"/>
      <c r="C35" s="55"/>
      <c r="D35" s="55"/>
      <c r="E35" s="56" t="s">
        <v>28</v>
      </c>
      <c r="F35" s="56" t="s">
        <v>29</v>
      </c>
      <c r="G35" s="56" t="s">
        <v>30</v>
      </c>
      <c r="H35" s="57"/>
      <c r="I35" s="79">
        <f>(I2+H24)/0.97</f>
        <v>484536.0825</v>
      </c>
      <c r="J35" s="76" t="s">
        <v>42</v>
      </c>
      <c r="K35" s="4"/>
      <c r="L35" s="4"/>
    </row>
    <row r="36" ht="15.75" customHeight="1">
      <c r="A36" s="55"/>
      <c r="B36" s="55"/>
      <c r="C36" s="55"/>
      <c r="D36" s="55"/>
      <c r="E36" s="55"/>
      <c r="F36" s="80">
        <f>(F22+F31)</f>
        <v>2872500</v>
      </c>
      <c r="G36" s="59">
        <f>((H2+H24)/F36)*1000</f>
        <v>159.4429939</v>
      </c>
      <c r="H36" s="57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40">
        <f>I2*0.97</f>
        <v>873000</v>
      </c>
      <c r="I2" s="76">
        <v>900000.0</v>
      </c>
      <c r="J2" s="4"/>
      <c r="K2" s="4"/>
      <c r="L2" s="4"/>
    </row>
    <row r="3" ht="15.75" customHeight="1">
      <c r="A3" s="7"/>
      <c r="B3" s="4"/>
      <c r="C3" s="4"/>
      <c r="D3" s="4"/>
      <c r="E3" s="4"/>
      <c r="F3" s="4"/>
      <c r="G3" s="8"/>
      <c r="H3" s="4"/>
      <c r="I3" s="4"/>
      <c r="J3" s="4"/>
      <c r="K3" s="4"/>
      <c r="L3" s="4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12">
        <v>237105.0</v>
      </c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0.2715979381</v>
      </c>
    </row>
    <row r="6" ht="15.75" customHeight="1">
      <c r="H6" s="16"/>
    </row>
    <row r="7" ht="15.75" customHeight="1">
      <c r="A7" s="61" t="s">
        <v>31</v>
      </c>
      <c r="B7" s="61"/>
      <c r="C7" s="61"/>
      <c r="D7" s="61"/>
      <c r="E7" s="61"/>
      <c r="F7" s="61"/>
      <c r="G7" s="61"/>
      <c r="H7" s="62">
        <v>120000.0</v>
      </c>
    </row>
    <row r="8" ht="15.75" customHeight="1">
      <c r="A8" s="63" t="s">
        <v>4</v>
      </c>
      <c r="B8" s="61"/>
      <c r="C8" s="61"/>
      <c r="D8" s="61"/>
      <c r="E8" s="61"/>
      <c r="F8" s="61"/>
      <c r="G8" s="61"/>
      <c r="H8" s="64">
        <f>H7/H2</f>
        <v>0.1374570447</v>
      </c>
    </row>
    <row r="9" ht="15.75" customHeight="1">
      <c r="A9" s="61"/>
      <c r="B9" s="65" t="s">
        <v>32</v>
      </c>
      <c r="C9" s="65" t="s">
        <v>33</v>
      </c>
      <c r="D9" s="65" t="s">
        <v>34</v>
      </c>
      <c r="E9" s="65" t="s">
        <v>28</v>
      </c>
      <c r="F9" s="65" t="s">
        <v>29</v>
      </c>
      <c r="G9" s="65" t="s">
        <v>35</v>
      </c>
      <c r="H9" s="61"/>
      <c r="K9" s="21"/>
      <c r="L9" s="21"/>
      <c r="M9" s="21"/>
      <c r="N9" s="21"/>
      <c r="O9" s="21"/>
      <c r="P9" s="21"/>
      <c r="Q9" s="21"/>
    </row>
    <row r="10" ht="15.75" customHeight="1">
      <c r="A10" s="30" t="s">
        <v>51</v>
      </c>
      <c r="B10" s="20">
        <v>10.0</v>
      </c>
      <c r="C10" s="30">
        <v>2000.0</v>
      </c>
      <c r="D10" s="66"/>
      <c r="E10" s="66"/>
      <c r="F10" s="66"/>
      <c r="G10" s="66"/>
      <c r="H10" s="66">
        <f>B10*C10</f>
        <v>20000</v>
      </c>
      <c r="K10" s="21"/>
      <c r="L10" s="21"/>
      <c r="M10" s="21"/>
      <c r="N10" s="21"/>
      <c r="O10" s="21"/>
      <c r="P10" s="21"/>
      <c r="Q10" s="21"/>
    </row>
    <row r="11" ht="15.75" customHeight="1">
      <c r="A11" s="30" t="s">
        <v>36</v>
      </c>
      <c r="B11" s="66"/>
      <c r="C11" s="66"/>
      <c r="D11" s="20" t="s">
        <v>49</v>
      </c>
      <c r="E11" s="67">
        <f t="shared" ref="E11:E14" si="1">F11*0.25</f>
        <v>425000</v>
      </c>
      <c r="F11" s="67">
        <f t="shared" ref="F11:F13" si="2">sum(1000*H11)/G11*0.85</f>
        <v>1700000</v>
      </c>
      <c r="G11" s="68">
        <v>20.0</v>
      </c>
      <c r="H11" s="141">
        <v>40000.0</v>
      </c>
      <c r="K11" s="21"/>
      <c r="L11" s="21"/>
      <c r="M11" s="21"/>
      <c r="N11" s="21"/>
      <c r="O11" s="21"/>
      <c r="P11" s="21"/>
      <c r="Q11" s="21"/>
    </row>
    <row r="12" ht="15.75" customHeight="1">
      <c r="A12" s="30" t="s">
        <v>38</v>
      </c>
      <c r="B12" s="66"/>
      <c r="C12" s="66"/>
      <c r="D12" s="20" t="s">
        <v>50</v>
      </c>
      <c r="E12" s="67">
        <f t="shared" si="1"/>
        <v>637500</v>
      </c>
      <c r="F12" s="67">
        <f t="shared" si="2"/>
        <v>2550000</v>
      </c>
      <c r="G12" s="68">
        <v>15.0</v>
      </c>
      <c r="H12" s="141">
        <v>45000.0</v>
      </c>
      <c r="I12" s="44"/>
      <c r="K12" s="21"/>
      <c r="L12" s="21"/>
      <c r="M12" s="21"/>
      <c r="N12" s="21"/>
      <c r="O12" s="21"/>
      <c r="P12" s="21"/>
      <c r="Q12" s="21"/>
    </row>
    <row r="13" ht="15.75" customHeight="1">
      <c r="A13" s="31" t="s">
        <v>39</v>
      </c>
      <c r="B13" s="66"/>
      <c r="C13" s="66"/>
      <c r="D13" s="20" t="s">
        <v>37</v>
      </c>
      <c r="E13" s="67">
        <f t="shared" si="1"/>
        <v>79687.5</v>
      </c>
      <c r="F13" s="67">
        <f t="shared" si="2"/>
        <v>318750</v>
      </c>
      <c r="G13" s="70">
        <v>40.0</v>
      </c>
      <c r="H13" s="142">
        <v>15000.0</v>
      </c>
      <c r="I13" s="48"/>
      <c r="J13" s="71"/>
      <c r="K13" s="21"/>
      <c r="L13" s="21"/>
      <c r="M13" s="21"/>
      <c r="N13" s="21"/>
      <c r="O13" s="21"/>
      <c r="P13" s="21"/>
      <c r="Q13" s="2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</row>
    <row r="14" ht="15.75" customHeight="1">
      <c r="A14" s="61" t="s">
        <v>24</v>
      </c>
      <c r="B14" s="61"/>
      <c r="C14" s="61"/>
      <c r="D14" s="61"/>
      <c r="E14" s="72">
        <f t="shared" si="1"/>
        <v>1062.5</v>
      </c>
      <c r="F14" s="73">
        <f>sum(F10:F12)/1000</f>
        <v>4250</v>
      </c>
      <c r="G14" s="74"/>
      <c r="H14" s="75">
        <f>sum(H10:H13)</f>
        <v>120000</v>
      </c>
      <c r="I14" s="48"/>
      <c r="K14" s="21"/>
      <c r="L14" s="21"/>
      <c r="M14" s="21"/>
      <c r="N14" s="21"/>
      <c r="O14" s="21"/>
      <c r="P14" s="21"/>
      <c r="Q14" s="21"/>
    </row>
    <row r="15" ht="15.75" customHeight="1">
      <c r="A15" s="65" t="s">
        <v>4</v>
      </c>
      <c r="B15" s="61"/>
      <c r="C15" s="61"/>
      <c r="D15" s="61"/>
      <c r="E15" s="137"/>
      <c r="F15" s="138"/>
      <c r="G15" s="74"/>
      <c r="H15" s="139">
        <f>H14/H2</f>
        <v>0.1374570447</v>
      </c>
      <c r="I15" s="48"/>
      <c r="K15" s="21"/>
      <c r="L15" s="21"/>
      <c r="M15" s="21"/>
      <c r="N15" s="21"/>
      <c r="O15" s="21"/>
      <c r="P15" s="21"/>
      <c r="Q15" s="21"/>
    </row>
    <row r="16" ht="15.75" customHeight="1">
      <c r="I16" s="21"/>
      <c r="K16" s="21"/>
      <c r="L16" s="21"/>
      <c r="M16" s="21"/>
      <c r="N16" s="21"/>
      <c r="O16" s="21"/>
      <c r="P16" s="21"/>
      <c r="Q16" s="21"/>
    </row>
    <row r="17" ht="15.75" customHeight="1">
      <c r="A17" s="143" t="s">
        <v>52</v>
      </c>
      <c r="B17" s="144"/>
      <c r="C17" s="145"/>
      <c r="D17" s="145"/>
      <c r="E17" s="145"/>
      <c r="F17" s="145"/>
      <c r="G17" s="145"/>
      <c r="H17" s="143">
        <v>60000.0</v>
      </c>
      <c r="I17" s="4"/>
      <c r="J17" s="4"/>
      <c r="K17" s="4"/>
      <c r="L17" s="4"/>
    </row>
    <row r="18" ht="15.75" customHeight="1">
      <c r="A18" s="17" t="s">
        <v>5</v>
      </c>
      <c r="B18" s="17"/>
      <c r="C18" s="17"/>
      <c r="D18" s="17"/>
      <c r="E18" s="17"/>
      <c r="F18" s="17"/>
      <c r="G18" s="17"/>
      <c r="H18" s="17"/>
      <c r="I18" s="18"/>
      <c r="J18" s="146" t="s">
        <v>53</v>
      </c>
      <c r="K18" s="147"/>
      <c r="L18" s="31" t="s">
        <v>54</v>
      </c>
      <c r="M18" s="31" t="s">
        <v>55</v>
      </c>
      <c r="N18" s="31" t="s">
        <v>56</v>
      </c>
      <c r="O18" s="21"/>
      <c r="P18" s="21"/>
      <c r="Q18" s="21"/>
    </row>
    <row r="19" ht="15.75" customHeight="1">
      <c r="A19" s="22" t="s">
        <v>6</v>
      </c>
      <c r="B19" s="22" t="s">
        <v>7</v>
      </c>
      <c r="C19" s="22" t="s">
        <v>8</v>
      </c>
      <c r="D19" s="22" t="s">
        <v>9</v>
      </c>
      <c r="E19" s="22" t="s">
        <v>28</v>
      </c>
      <c r="F19" s="22" t="s">
        <v>11</v>
      </c>
      <c r="G19" s="22" t="s">
        <v>12</v>
      </c>
      <c r="H19" s="22" t="s">
        <v>13</v>
      </c>
      <c r="I19" s="18"/>
      <c r="J19" s="148">
        <v>0.4</v>
      </c>
      <c r="K19" s="149" t="s">
        <v>16</v>
      </c>
      <c r="L19" s="126">
        <f>H36*0.4</f>
        <v>168681.15</v>
      </c>
      <c r="M19" s="21">
        <f>SUM(H20:H24)</f>
        <v>176400</v>
      </c>
      <c r="N19" s="68">
        <f t="shared" ref="N19:N21" si="3">L19-M19</f>
        <v>-7718.85</v>
      </c>
      <c r="O19" s="21"/>
      <c r="P19" s="21"/>
      <c r="Q19" s="21"/>
    </row>
    <row r="20" ht="15.75" customHeight="1">
      <c r="A20" s="24" t="s">
        <v>16</v>
      </c>
      <c r="B20" s="20">
        <v>75.0</v>
      </c>
      <c r="C20" s="30"/>
      <c r="D20" s="21"/>
      <c r="E20" s="66">
        <f t="shared" ref="E20:E34" si="4">F20*0.6</f>
        <v>31.5</v>
      </c>
      <c r="F20" s="30">
        <f t="shared" ref="F20:F24" si="5">B20*0.7</f>
        <v>52.5</v>
      </c>
      <c r="G20" s="20">
        <v>480.0</v>
      </c>
      <c r="H20" s="66">
        <f t="shared" ref="H20:H34" si="6">F20*G20</f>
        <v>25200</v>
      </c>
      <c r="J20" s="150">
        <v>0.45</v>
      </c>
      <c r="K20" s="151" t="s">
        <v>21</v>
      </c>
      <c r="L20" s="128">
        <f>H36*0.45</f>
        <v>189766.2938</v>
      </c>
      <c r="M20" s="48">
        <f>SUM(H25:H31)</f>
        <v>175680</v>
      </c>
      <c r="N20" s="68">
        <f t="shared" si="3"/>
        <v>14086.29375</v>
      </c>
      <c r="O20" s="44"/>
      <c r="P20" s="48"/>
      <c r="Q20" s="21"/>
    </row>
    <row r="21" ht="15.75" customHeight="1">
      <c r="A21" s="24" t="s">
        <v>16</v>
      </c>
      <c r="B21" s="20">
        <v>75.0</v>
      </c>
      <c r="C21" s="30"/>
      <c r="D21" s="21"/>
      <c r="E21" s="66">
        <f t="shared" si="4"/>
        <v>31.5</v>
      </c>
      <c r="F21" s="30">
        <f t="shared" si="5"/>
        <v>52.5</v>
      </c>
      <c r="G21" s="20">
        <v>480.0</v>
      </c>
      <c r="H21" s="66">
        <f t="shared" si="6"/>
        <v>25200</v>
      </c>
      <c r="J21" s="150">
        <v>0.15</v>
      </c>
      <c r="K21" s="151" t="s">
        <v>22</v>
      </c>
      <c r="L21" s="129">
        <f>H36*0.15</f>
        <v>63255.43125</v>
      </c>
      <c r="M21" s="129">
        <f>SUM(H32:H34)</f>
        <v>68400</v>
      </c>
      <c r="N21" s="68">
        <f t="shared" si="3"/>
        <v>-5144.56875</v>
      </c>
      <c r="O21" s="44"/>
      <c r="P21" s="44"/>
      <c r="Q21" s="21"/>
    </row>
    <row r="22" ht="15.75" customHeight="1">
      <c r="A22" s="24" t="s">
        <v>16</v>
      </c>
      <c r="B22" s="20">
        <v>125.0</v>
      </c>
      <c r="C22" s="30"/>
      <c r="D22" s="21"/>
      <c r="E22" s="66">
        <f t="shared" si="4"/>
        <v>52.5</v>
      </c>
      <c r="F22" s="30">
        <f t="shared" si="5"/>
        <v>87.5</v>
      </c>
      <c r="G22" s="20">
        <v>480.0</v>
      </c>
      <c r="H22" s="66">
        <f t="shared" si="6"/>
        <v>42000</v>
      </c>
      <c r="K22" s="21"/>
      <c r="L22" s="129"/>
      <c r="M22" s="129"/>
      <c r="N22" s="68">
        <f>SUM(N19:N21)</f>
        <v>1222.875</v>
      </c>
      <c r="O22" s="44"/>
      <c r="P22" s="44"/>
      <c r="Q22" s="21"/>
    </row>
    <row r="23" ht="15.75" customHeight="1">
      <c r="A23" s="24" t="s">
        <v>16</v>
      </c>
      <c r="B23" s="20">
        <v>125.0</v>
      </c>
      <c r="C23" s="30"/>
      <c r="D23" s="21"/>
      <c r="E23" s="66">
        <f t="shared" si="4"/>
        <v>52.5</v>
      </c>
      <c r="F23" s="30">
        <f t="shared" si="5"/>
        <v>87.5</v>
      </c>
      <c r="G23" s="20">
        <v>480.0</v>
      </c>
      <c r="H23" s="66">
        <f t="shared" si="6"/>
        <v>42000</v>
      </c>
      <c r="K23" s="21"/>
      <c r="L23" s="129"/>
      <c r="M23" s="129"/>
      <c r="N23" s="68"/>
      <c r="O23" s="44"/>
      <c r="P23" s="44"/>
      <c r="Q23" s="21"/>
    </row>
    <row r="24" ht="15.75" customHeight="1">
      <c r="A24" s="24" t="s">
        <v>16</v>
      </c>
      <c r="B24" s="20">
        <v>125.0</v>
      </c>
      <c r="C24" s="30"/>
      <c r="D24" s="21"/>
      <c r="E24" s="66">
        <f t="shared" si="4"/>
        <v>52.5</v>
      </c>
      <c r="F24" s="30">
        <f t="shared" si="5"/>
        <v>87.5</v>
      </c>
      <c r="G24" s="20">
        <v>480.0</v>
      </c>
      <c r="H24" s="66">
        <f t="shared" si="6"/>
        <v>42000</v>
      </c>
      <c r="K24" s="21"/>
      <c r="L24" s="129"/>
      <c r="M24" s="129"/>
      <c r="N24" s="68"/>
      <c r="O24" s="44"/>
      <c r="P24" s="44"/>
      <c r="Q24" s="21"/>
    </row>
    <row r="25" ht="15.75" customHeight="1">
      <c r="A25" s="152" t="s">
        <v>21</v>
      </c>
      <c r="B25" s="153">
        <v>35.0</v>
      </c>
      <c r="C25" s="154"/>
      <c r="D25" s="154"/>
      <c r="E25" s="154">
        <f t="shared" si="4"/>
        <v>16.8</v>
      </c>
      <c r="F25" s="154">
        <f t="shared" ref="F25:F31" si="7">B25*0.8</f>
        <v>28</v>
      </c>
      <c r="G25" s="153">
        <v>360.0</v>
      </c>
      <c r="H25" s="66">
        <f t="shared" si="6"/>
        <v>10080</v>
      </c>
      <c r="J25" s="4"/>
      <c r="K25" s="43"/>
      <c r="L25" s="44"/>
      <c r="M25" s="21"/>
      <c r="N25" s="21"/>
      <c r="O25" s="21"/>
      <c r="P25" s="21"/>
      <c r="Q25" s="21"/>
    </row>
    <row r="26" ht="15.75" customHeight="1">
      <c r="A26" s="155" t="s">
        <v>21</v>
      </c>
      <c r="B26" s="156">
        <v>75.0</v>
      </c>
      <c r="C26" s="157"/>
      <c r="D26" s="157"/>
      <c r="E26" s="158">
        <f t="shared" si="4"/>
        <v>36</v>
      </c>
      <c r="F26" s="158">
        <f t="shared" si="7"/>
        <v>60</v>
      </c>
      <c r="G26" s="156">
        <v>360.0</v>
      </c>
      <c r="H26" s="122">
        <f t="shared" si="6"/>
        <v>21600</v>
      </c>
      <c r="J26" s="4"/>
      <c r="K26" s="43"/>
      <c r="L26" s="44"/>
      <c r="M26" s="21"/>
      <c r="N26" s="21"/>
      <c r="O26" s="21"/>
      <c r="P26" s="21"/>
      <c r="Q26" s="21"/>
    </row>
    <row r="27" ht="15.75" customHeight="1">
      <c r="A27" s="152" t="s">
        <v>21</v>
      </c>
      <c r="B27" s="153">
        <v>75.0</v>
      </c>
      <c r="C27" s="154"/>
      <c r="D27" s="154"/>
      <c r="E27" s="154">
        <f t="shared" si="4"/>
        <v>36</v>
      </c>
      <c r="F27" s="154">
        <f t="shared" si="7"/>
        <v>60</v>
      </c>
      <c r="G27" s="153">
        <v>360.0</v>
      </c>
      <c r="H27" s="66">
        <f t="shared" si="6"/>
        <v>21600</v>
      </c>
      <c r="J27" s="4"/>
      <c r="K27" s="43"/>
      <c r="L27" s="44"/>
      <c r="M27" s="21"/>
      <c r="N27" s="21"/>
      <c r="O27" s="21"/>
      <c r="P27" s="21"/>
      <c r="Q27" s="21"/>
    </row>
    <row r="28" ht="15.75" customHeight="1">
      <c r="A28" s="152" t="s">
        <v>21</v>
      </c>
      <c r="B28" s="153">
        <v>75.0</v>
      </c>
      <c r="C28" s="154"/>
      <c r="D28" s="154"/>
      <c r="E28" s="154">
        <f t="shared" si="4"/>
        <v>36</v>
      </c>
      <c r="F28" s="154">
        <f t="shared" si="7"/>
        <v>60</v>
      </c>
      <c r="G28" s="153">
        <v>360.0</v>
      </c>
      <c r="H28" s="66">
        <f t="shared" si="6"/>
        <v>21600</v>
      </c>
      <c r="J28" s="4"/>
      <c r="K28" s="43"/>
      <c r="L28" s="44"/>
      <c r="M28" s="21"/>
      <c r="N28" s="21"/>
      <c r="O28" s="21"/>
      <c r="P28" s="21"/>
      <c r="Q28" s="21"/>
    </row>
    <row r="29" ht="15.75" customHeight="1">
      <c r="A29" s="152" t="s">
        <v>21</v>
      </c>
      <c r="B29" s="153">
        <v>100.0</v>
      </c>
      <c r="C29" s="154"/>
      <c r="D29" s="154"/>
      <c r="E29" s="154">
        <f t="shared" si="4"/>
        <v>48</v>
      </c>
      <c r="F29" s="154">
        <f t="shared" si="7"/>
        <v>80</v>
      </c>
      <c r="G29" s="153">
        <v>360.0</v>
      </c>
      <c r="H29" s="66">
        <f t="shared" si="6"/>
        <v>28800</v>
      </c>
      <c r="J29" s="4"/>
      <c r="K29" s="43"/>
      <c r="L29" s="44"/>
      <c r="M29" s="21"/>
      <c r="N29" s="21"/>
      <c r="O29" s="21"/>
      <c r="P29" s="21"/>
      <c r="Q29" s="21"/>
    </row>
    <row r="30" ht="15.75" customHeight="1">
      <c r="A30" s="152" t="s">
        <v>21</v>
      </c>
      <c r="B30" s="153">
        <v>125.0</v>
      </c>
      <c r="C30" s="154"/>
      <c r="D30" s="154"/>
      <c r="E30" s="154">
        <f t="shared" si="4"/>
        <v>60</v>
      </c>
      <c r="F30" s="154">
        <f t="shared" si="7"/>
        <v>100</v>
      </c>
      <c r="G30" s="153">
        <v>360.0</v>
      </c>
      <c r="H30" s="66">
        <f t="shared" si="6"/>
        <v>36000</v>
      </c>
      <c r="J30" s="4"/>
      <c r="K30" s="43"/>
      <c r="L30" s="44"/>
      <c r="M30" s="21"/>
      <c r="N30" s="21"/>
      <c r="O30" s="21"/>
      <c r="P30" s="21"/>
      <c r="Q30" s="21"/>
    </row>
    <row r="31" ht="15.75" customHeight="1">
      <c r="A31" s="152" t="s">
        <v>21</v>
      </c>
      <c r="B31" s="153">
        <v>125.0</v>
      </c>
      <c r="C31" s="154"/>
      <c r="D31" s="154"/>
      <c r="E31" s="154">
        <f t="shared" si="4"/>
        <v>60</v>
      </c>
      <c r="F31" s="154">
        <f t="shared" si="7"/>
        <v>100</v>
      </c>
      <c r="G31" s="153">
        <v>360.0</v>
      </c>
      <c r="H31" s="66">
        <f t="shared" si="6"/>
        <v>36000</v>
      </c>
      <c r="J31" s="4"/>
      <c r="K31" s="43"/>
      <c r="L31" s="44"/>
      <c r="M31" s="21"/>
      <c r="N31" s="21"/>
      <c r="O31" s="21"/>
      <c r="P31" s="21"/>
      <c r="Q31" s="21"/>
    </row>
    <row r="32" ht="15.75" customHeight="1">
      <c r="A32" s="24" t="s">
        <v>22</v>
      </c>
      <c r="B32" s="20" t="s">
        <v>23</v>
      </c>
      <c r="C32" s="30"/>
      <c r="D32" s="21"/>
      <c r="E32" s="66">
        <f t="shared" si="4"/>
        <v>24</v>
      </c>
      <c r="F32" s="20">
        <v>40.0</v>
      </c>
      <c r="G32" s="20">
        <v>360.0</v>
      </c>
      <c r="H32" s="66">
        <f t="shared" si="6"/>
        <v>14400</v>
      </c>
      <c r="J32" s="4"/>
      <c r="K32" s="43"/>
      <c r="L32" s="44"/>
      <c r="M32" s="21"/>
      <c r="N32" s="21"/>
      <c r="O32" s="21"/>
      <c r="P32" s="21"/>
      <c r="Q32" s="21"/>
    </row>
    <row r="33" ht="15.75" customHeight="1">
      <c r="A33" s="24" t="s">
        <v>22</v>
      </c>
      <c r="B33" s="20" t="s">
        <v>23</v>
      </c>
      <c r="C33" s="30"/>
      <c r="D33" s="21"/>
      <c r="E33" s="66">
        <f t="shared" si="4"/>
        <v>30</v>
      </c>
      <c r="F33" s="20">
        <v>50.0</v>
      </c>
      <c r="G33" s="20">
        <v>360.0</v>
      </c>
      <c r="H33" s="66">
        <f t="shared" si="6"/>
        <v>18000</v>
      </c>
      <c r="J33" s="4"/>
      <c r="K33" s="43"/>
      <c r="L33" s="44"/>
      <c r="M33" s="21"/>
      <c r="N33" s="21"/>
      <c r="O33" s="21"/>
      <c r="P33" s="21"/>
      <c r="Q33" s="21"/>
    </row>
    <row r="34" ht="15.75" customHeight="1">
      <c r="A34" s="24" t="s">
        <v>22</v>
      </c>
      <c r="B34" s="20" t="s">
        <v>23</v>
      </c>
      <c r="C34" s="30"/>
      <c r="D34" s="21"/>
      <c r="E34" s="66">
        <f t="shared" si="4"/>
        <v>60</v>
      </c>
      <c r="F34" s="20">
        <v>100.0</v>
      </c>
      <c r="G34" s="20">
        <v>360.0</v>
      </c>
      <c r="H34" s="66">
        <f t="shared" si="6"/>
        <v>36000</v>
      </c>
      <c r="J34" s="4"/>
      <c r="K34" s="48"/>
      <c r="L34" s="48"/>
      <c r="M34" s="21"/>
      <c r="N34" s="21"/>
      <c r="O34" s="21"/>
      <c r="P34" s="21"/>
      <c r="Q34" s="21"/>
    </row>
    <row r="35" ht="15.75" customHeight="1">
      <c r="A35" s="17" t="s">
        <v>24</v>
      </c>
      <c r="B35" s="17"/>
      <c r="C35" s="17"/>
      <c r="D35" s="17"/>
      <c r="E35" s="17">
        <f>sum(E20:E34)</f>
        <v>627.3</v>
      </c>
      <c r="F35" s="17">
        <f>SUM(F20:F34)</f>
        <v>1045.5</v>
      </c>
      <c r="G35" s="17"/>
      <c r="H35" s="17">
        <f>sum(H20:H34)</f>
        <v>420480</v>
      </c>
      <c r="I35" s="52" t="s">
        <v>25</v>
      </c>
      <c r="J35" s="4"/>
      <c r="K35" s="48"/>
      <c r="L35" s="48"/>
      <c r="M35" s="21"/>
      <c r="N35" s="21"/>
      <c r="O35" s="21"/>
      <c r="P35" s="21"/>
      <c r="Q35" s="21"/>
    </row>
    <row r="36" ht="15.75" customHeight="1">
      <c r="A36" s="38">
        <f>COUNTA(A20:A34)</f>
        <v>15</v>
      </c>
      <c r="H36" s="130">
        <f>I36*0.925</f>
        <v>421702.875</v>
      </c>
      <c r="I36" s="131">
        <f>H2-H4-H7-H17</f>
        <v>455895</v>
      </c>
      <c r="J36" s="4"/>
      <c r="K36" s="48"/>
      <c r="L36" s="48"/>
      <c r="M36" s="21"/>
      <c r="N36" s="21"/>
      <c r="O36" s="21"/>
      <c r="P36" s="21"/>
      <c r="Q36" s="21"/>
    </row>
    <row r="37" ht="15.75" customHeight="1">
      <c r="J37" s="4"/>
      <c r="K37" s="4"/>
      <c r="L37" s="4"/>
    </row>
    <row r="38" ht="15.75" customHeight="1">
      <c r="A38" s="55" t="s">
        <v>27</v>
      </c>
      <c r="B38" s="55"/>
      <c r="C38" s="55"/>
      <c r="D38" s="55"/>
      <c r="E38" s="55"/>
      <c r="F38" s="56"/>
      <c r="G38" s="56"/>
      <c r="H38" s="57"/>
      <c r="J38" s="4"/>
      <c r="K38" s="4"/>
      <c r="L38" s="4"/>
    </row>
    <row r="39" ht="15.75" customHeight="1">
      <c r="A39" s="55"/>
      <c r="B39" s="55"/>
      <c r="C39" s="55"/>
      <c r="D39" s="55"/>
      <c r="E39" s="56" t="s">
        <v>28</v>
      </c>
      <c r="F39" s="56" t="s">
        <v>29</v>
      </c>
      <c r="G39" s="56" t="s">
        <v>30</v>
      </c>
      <c r="H39" s="57"/>
      <c r="J39" s="4"/>
      <c r="K39" s="4"/>
      <c r="L39" s="4"/>
    </row>
    <row r="40" ht="15.75" customHeight="1">
      <c r="A40" s="55"/>
      <c r="B40" s="55"/>
      <c r="C40" s="55"/>
      <c r="D40" s="55"/>
      <c r="E40" s="55">
        <f t="shared" ref="E40:F40" si="8">(E14+E35)*1000</f>
        <v>1689800</v>
      </c>
      <c r="F40" s="58">
        <f t="shared" si="8"/>
        <v>5295500</v>
      </c>
      <c r="G40" s="80">
        <f>(H2/F40)*1000</f>
        <v>164.856954</v>
      </c>
      <c r="H40" s="57"/>
      <c r="J40" s="4"/>
      <c r="K40" s="4"/>
      <c r="L40" s="4"/>
    </row>
    <row r="41" ht="15.75" customHeight="1">
      <c r="A41" s="7"/>
      <c r="B41" s="4"/>
      <c r="C41" s="4"/>
      <c r="D41" s="4"/>
      <c r="E41" s="4"/>
      <c r="F41" s="4"/>
      <c r="G41" s="60"/>
      <c r="H41" s="49"/>
      <c r="I41" s="4"/>
      <c r="J41" s="4"/>
      <c r="K41" s="4"/>
      <c r="L41" s="4"/>
    </row>
    <row r="42" ht="15.75" customHeight="1">
      <c r="A42" s="159"/>
      <c r="B42" s="160"/>
      <c r="C42" s="160"/>
      <c r="D42" s="160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76"/>
      <c r="B43" s="6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76"/>
      <c r="B44" s="76"/>
      <c r="C44" s="4"/>
      <c r="D44" s="4"/>
      <c r="E44" s="4"/>
      <c r="F44" s="4"/>
      <c r="G44" s="4"/>
      <c r="H44" s="4"/>
      <c r="I44" s="76"/>
      <c r="J44" s="4"/>
      <c r="K44" s="4"/>
      <c r="L44" s="4"/>
    </row>
    <row r="45" ht="15.75" customHeight="1">
      <c r="A45" s="159"/>
      <c r="B45" s="76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159"/>
      <c r="B46" s="6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6.5" customHeight="1">
      <c r="A47" s="159"/>
      <c r="B47" s="6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159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159"/>
      <c r="B49" s="6"/>
      <c r="C49" s="76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161"/>
      <c r="B50" s="162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76"/>
      <c r="B51" s="77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7"/>
      <c r="B52" s="132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drawing r:id="rId1"/>
</worksheet>
</file>