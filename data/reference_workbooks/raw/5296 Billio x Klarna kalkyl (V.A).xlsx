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50K 90 days rights" sheetId="1" r:id="rId4"/>
    <sheet state="visible" name="150K 90dagar" sheetId="2" r:id="rId5"/>
    <sheet state="visible" name="NY 150K 90dagar" sheetId="3" r:id="rId6"/>
    <sheet state="visible" name="150K normala rättigheter" sheetId="4" r:id="rId7"/>
  </sheets>
  <definedNames/>
  <calcPr/>
  <extLst>
    <ext uri="GoogleSheetsCustomDataVersion2">
      <go:sheetsCustomData xmlns:go="http://customooxmlschemas.google.com/" r:id="rId8" roundtripDataChecksum="PDotaJf1ahIb261qfEc2Ncw7HLTfWEQBq+YDb8mds2o="/>
    </ext>
  </extLst>
</workbook>
</file>

<file path=xl/sharedStrings.xml><?xml version="1.0" encoding="utf-8"?>
<sst xmlns="http://schemas.openxmlformats.org/spreadsheetml/2006/main" count="142" uniqueCount="34">
  <si>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</si>
  <si>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</si>
  <si>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</si>
  <si>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</si>
  <si>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</si>
  <si>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</si>
  <si>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</si>
  <si>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</si>
  <si>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</si>
  <si>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</si>
  <si>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</si>
  <si>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</si>
  <si>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</si>
  <si>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</si>
  <si>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ACTUAL profile fee</t>
  </si>
  <si>
    <t>urspr profile fee</t>
  </si>
  <si>
    <t>varav rättigheter</t>
  </si>
  <si>
    <t>profile fee exkl rättigheter</t>
  </si>
  <si>
    <t>Endast rättigheter</t>
  </si>
  <si>
    <t>Rättigheter 60 days</t>
  </si>
  <si>
    <t>Så mycket högre blir arvodet med 3 mån rättighter</t>
  </si>
  <si>
    <t>Instagram</t>
  </si>
  <si>
    <t>90 days</t>
  </si>
  <si>
    <t>Total</t>
  </si>
  <si>
    <t>inkl 7,5%</t>
  </si>
  <si>
    <t>TOTAL CAMPAIGN</t>
  </si>
  <si>
    <t>Reach</t>
  </si>
  <si>
    <t>Impressions</t>
  </si>
  <si>
    <t>CPM</t>
  </si>
  <si>
    <t>Rättigheter 90</t>
  </si>
  <si>
    <t>90 dagar</t>
  </si>
  <si>
    <t>UGC</t>
  </si>
  <si>
    <t>-</t>
  </si>
  <si>
    <t>91 dagar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</si>
</sst>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 ### ##0"/>
    <numFmt numFmtId="165" formatCode="## ### ### ###"/>
    <numFmt numFmtId="166" formatCode="m-d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BF9000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i/>
      <color rgb="FF999999"/>
      <name val="Arial"/>
    </font>
    <font>
      <color rgb="FF999999"/>
      <name val="Arial"/>
    </font>
    <font>
      <b/>
      <color rgb="FF99999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0" fontId="4" numFmtId="0" xfId="0" applyFont="1"/>
    <xf borderId="0" fillId="3" fontId="2" numFmtId="0" xfId="0" applyFont="1"/>
    <xf borderId="0" fillId="5" fontId="3" numFmtId="0" xfId="0" applyFont="1"/>
    <xf borderId="0" fillId="5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6" fontId="1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7" fontId="2" numFmtId="0" xfId="0" applyFill="1" applyFont="1"/>
    <xf borderId="0" fillId="0" fontId="2" numFmtId="0" xfId="0" applyFont="1"/>
    <xf borderId="0" fillId="5" fontId="1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5" fontId="1" numFmtId="0" xfId="0" applyAlignment="1" applyFont="1">
      <alignment horizontal="right" vertical="bottom"/>
    </xf>
    <xf borderId="0" fillId="6" fontId="2" numFmtId="0" xfId="0" applyAlignment="1" applyFont="1">
      <alignment horizontal="right" vertical="bottom"/>
    </xf>
    <xf borderId="0" fillId="0" fontId="6" numFmtId="0" xfId="0" applyFont="1"/>
    <xf borderId="0" fillId="0" fontId="3" numFmtId="0" xfId="0" applyAlignment="1" applyFont="1">
      <alignment horizontal="right"/>
    </xf>
    <xf borderId="0" fillId="0" fontId="7" numFmtId="0" xfId="0" applyFont="1"/>
    <xf borderId="0" fillId="0" fontId="8" numFmtId="0" xfId="0" applyFont="1"/>
    <xf borderId="0" fillId="0" fontId="5" numFmtId="165" xfId="0" applyFont="1" applyNumberForma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9" numFmtId="0" xfId="0" applyFont="1"/>
    <xf borderId="0" fillId="0" fontId="9" numFmtId="0" xfId="0" applyAlignment="1" applyFont="1">
      <alignment vertical="bottom"/>
    </xf>
    <xf borderId="0" fillId="5" fontId="10" numFmtId="0" xfId="0" applyFont="1"/>
    <xf borderId="0" fillId="7" fontId="11" numFmtId="0" xfId="0" applyFont="1"/>
    <xf borderId="0" fillId="5" fontId="2" numFmtId="0" xfId="0" applyAlignment="1" applyFont="1">
      <alignment horizontal="right" vertical="bottom"/>
    </xf>
    <xf borderId="0" fillId="7" fontId="11" numFmtId="0" xfId="0" applyAlignment="1" applyFont="1">
      <alignment readingOrder="0"/>
    </xf>
    <xf borderId="0" fillId="5" fontId="12" numFmtId="0" xfId="0" applyFont="1"/>
    <xf borderId="0" fillId="0" fontId="4" numFmtId="165" xfId="0" applyFont="1" applyNumberFormat="1"/>
    <xf borderId="0" fillId="8" fontId="9" numFmtId="165" xfId="0" applyFont="1" applyNumberFormat="1"/>
    <xf borderId="0" fillId="0" fontId="2" numFmtId="165" xfId="0" applyAlignment="1" applyFont="1" applyNumberFormat="1">
      <alignment vertical="bottom"/>
    </xf>
    <xf borderId="0" fillId="3" fontId="2" numFmtId="166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7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  <col customWidth="1" min="11" max="11" width="13.63"/>
    <col customWidth="1" min="13" max="13" width="21.38"/>
    <col customWidth="1" min="14" max="14" width="15.25"/>
    <col customWidth="1" min="15" max="15" width="16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150000.0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51698.0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0.3446533333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/>
      <c r="I7" s="15"/>
      <c r="J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9" t="s">
        <v>14</v>
      </c>
      <c r="J8" s="20"/>
      <c r="K8" s="21" t="s">
        <v>15</v>
      </c>
      <c r="L8" s="22" t="s">
        <v>16</v>
      </c>
      <c r="M8" s="22" t="s">
        <v>17</v>
      </c>
      <c r="N8" s="6" t="s">
        <v>18</v>
      </c>
      <c r="O8" s="23" t="s">
        <v>19</v>
      </c>
      <c r="P8" s="24" t="s">
        <v>20</v>
      </c>
      <c r="Q8" s="24"/>
      <c r="R8" s="25"/>
    </row>
    <row r="9" ht="15.75" customHeight="1">
      <c r="A9" s="26" t="s">
        <v>21</v>
      </c>
      <c r="B9" s="27">
        <v>35.0</v>
      </c>
      <c r="C9" s="27">
        <v>1.0</v>
      </c>
      <c r="D9" s="28" t="s">
        <v>22</v>
      </c>
      <c r="E9" s="29">
        <f t="shared" ref="E9:E12" si="1">F9*0.6</f>
        <v>15</v>
      </c>
      <c r="F9" s="30">
        <f t="shared" ref="F9:F12" si="2">MROUND(B9*0.7,5)</f>
        <v>25</v>
      </c>
      <c r="G9" s="27">
        <v>570.0</v>
      </c>
      <c r="H9" s="29">
        <f t="shared" ref="H9:H12" si="3">F9*G9</f>
        <v>14250</v>
      </c>
      <c r="I9" s="31">
        <f t="shared" ref="I9:I12" si="4">M9+O9</f>
        <v>17100</v>
      </c>
      <c r="J9" s="20"/>
      <c r="K9" s="29">
        <f t="shared" ref="K9:K12" si="5">H9</f>
        <v>14250</v>
      </c>
      <c r="L9" s="32">
        <v>0.2</v>
      </c>
      <c r="M9" s="33">
        <f t="shared" ref="M9:M12" si="6">K9*0.8</f>
        <v>11400</v>
      </c>
      <c r="N9" s="34">
        <f t="shared" ref="N9:N12" si="7">K9-M9</f>
        <v>2850</v>
      </c>
      <c r="O9" s="35">
        <f t="shared" ref="O9:O12" si="8">N9*2</f>
        <v>5700</v>
      </c>
      <c r="P9" s="32">
        <f t="shared" ref="P9:P12" si="9">I9/H9</f>
        <v>1.2</v>
      </c>
      <c r="Q9" s="17"/>
    </row>
    <row r="10" ht="15.75" customHeight="1">
      <c r="A10" s="26" t="s">
        <v>21</v>
      </c>
      <c r="B10" s="27">
        <v>35.0</v>
      </c>
      <c r="C10" s="27">
        <v>1.0</v>
      </c>
      <c r="D10" s="28" t="s">
        <v>22</v>
      </c>
      <c r="E10" s="29">
        <f t="shared" si="1"/>
        <v>15</v>
      </c>
      <c r="F10" s="30">
        <f t="shared" si="2"/>
        <v>25</v>
      </c>
      <c r="G10" s="27">
        <v>570.0</v>
      </c>
      <c r="H10" s="29">
        <f t="shared" si="3"/>
        <v>14250</v>
      </c>
      <c r="I10" s="31">
        <f t="shared" si="4"/>
        <v>17100</v>
      </c>
      <c r="J10" s="20"/>
      <c r="K10" s="29">
        <f t="shared" si="5"/>
        <v>14250</v>
      </c>
      <c r="L10" s="32">
        <v>0.2</v>
      </c>
      <c r="M10" s="33">
        <f t="shared" si="6"/>
        <v>11400</v>
      </c>
      <c r="N10" s="34">
        <f t="shared" si="7"/>
        <v>2850</v>
      </c>
      <c r="O10" s="35">
        <f t="shared" si="8"/>
        <v>5700</v>
      </c>
      <c r="P10" s="32">
        <f t="shared" si="9"/>
        <v>1.2</v>
      </c>
      <c r="Q10" s="17"/>
    </row>
    <row r="11" ht="15.75" customHeight="1">
      <c r="A11" s="26" t="s">
        <v>21</v>
      </c>
      <c r="B11" s="36">
        <v>35.0</v>
      </c>
      <c r="C11" s="36">
        <v>1.0</v>
      </c>
      <c r="D11" s="28" t="s">
        <v>22</v>
      </c>
      <c r="E11" s="29">
        <f t="shared" si="1"/>
        <v>15</v>
      </c>
      <c r="F11" s="30">
        <f t="shared" si="2"/>
        <v>25</v>
      </c>
      <c r="G11" s="27">
        <v>570.0</v>
      </c>
      <c r="H11" s="29">
        <f t="shared" si="3"/>
        <v>14250</v>
      </c>
      <c r="I11" s="37">
        <f t="shared" si="4"/>
        <v>17100</v>
      </c>
      <c r="J11" s="4"/>
      <c r="K11" s="29">
        <f t="shared" si="5"/>
        <v>14250</v>
      </c>
      <c r="L11" s="32">
        <v>0.2</v>
      </c>
      <c r="M11" s="33">
        <f t="shared" si="6"/>
        <v>11400</v>
      </c>
      <c r="N11" s="34">
        <f t="shared" si="7"/>
        <v>2850</v>
      </c>
      <c r="O11" s="38">
        <f t="shared" si="8"/>
        <v>5700</v>
      </c>
      <c r="P11" s="32">
        <f t="shared" si="9"/>
        <v>1.2</v>
      </c>
    </row>
    <row r="12" ht="15.75" customHeight="1">
      <c r="A12" s="26" t="s">
        <v>21</v>
      </c>
      <c r="B12" s="27">
        <v>75.0</v>
      </c>
      <c r="C12" s="27">
        <v>1.0</v>
      </c>
      <c r="D12" s="28" t="s">
        <v>22</v>
      </c>
      <c r="E12" s="29">
        <f t="shared" si="1"/>
        <v>33</v>
      </c>
      <c r="F12" s="30">
        <f t="shared" si="2"/>
        <v>55</v>
      </c>
      <c r="G12" s="27">
        <v>570.0</v>
      </c>
      <c r="H12" s="29">
        <f t="shared" si="3"/>
        <v>31350</v>
      </c>
      <c r="I12" s="37">
        <f t="shared" si="4"/>
        <v>37620</v>
      </c>
      <c r="K12" s="29">
        <f t="shared" si="5"/>
        <v>31350</v>
      </c>
      <c r="L12" s="32">
        <v>0.2</v>
      </c>
      <c r="M12" s="33">
        <f t="shared" si="6"/>
        <v>25080</v>
      </c>
      <c r="N12" s="34">
        <f t="shared" si="7"/>
        <v>6270</v>
      </c>
      <c r="O12" s="38">
        <f t="shared" si="8"/>
        <v>12540</v>
      </c>
      <c r="P12" s="32">
        <f t="shared" si="9"/>
        <v>1.2</v>
      </c>
      <c r="Q12" s="17"/>
    </row>
    <row r="13" ht="15.75" customHeight="1">
      <c r="A13" s="14" t="s">
        <v>23</v>
      </c>
      <c r="B13" s="14"/>
      <c r="C13" s="14"/>
      <c r="D13" s="14"/>
      <c r="E13" s="14">
        <f>sum(E9:E12)</f>
        <v>78</v>
      </c>
      <c r="F13" s="14">
        <f>SUM(F9:F12)</f>
        <v>130</v>
      </c>
      <c r="G13" s="14"/>
      <c r="H13" s="14">
        <f>sum(H9:H12)</f>
        <v>74100</v>
      </c>
      <c r="I13" s="39">
        <f>SUM(I9:I12)</f>
        <v>88920</v>
      </c>
      <c r="J13" s="40" t="s">
        <v>24</v>
      </c>
      <c r="K13" s="24"/>
      <c r="L13" s="24"/>
      <c r="M13" s="17"/>
      <c r="N13" s="17"/>
      <c r="O13" s="17"/>
      <c r="P13" s="17"/>
      <c r="Q13" s="17"/>
    </row>
    <row r="14" ht="15.75" customHeight="1">
      <c r="H14" s="41">
        <f>J14*0.925</f>
        <v>90929.35</v>
      </c>
      <c r="J14" s="42">
        <f>H2-H4</f>
        <v>98302</v>
      </c>
      <c r="K14" s="24"/>
      <c r="L14" s="24"/>
      <c r="M14" s="17"/>
      <c r="N14" s="17"/>
      <c r="O14" s="17"/>
      <c r="P14" s="17"/>
      <c r="Q14" s="17"/>
    </row>
    <row r="15" ht="15.75" customHeight="1">
      <c r="H15" s="43">
        <f>H14-H13</f>
        <v>16829.35</v>
      </c>
      <c r="I15" s="16">
        <f>H14-I13</f>
        <v>2009.35</v>
      </c>
      <c r="J15" s="4"/>
      <c r="K15" s="4"/>
      <c r="L15" s="4"/>
    </row>
    <row r="16" ht="15.75" customHeight="1">
      <c r="A16" s="44" t="s">
        <v>25</v>
      </c>
      <c r="B16" s="44"/>
      <c r="C16" s="44"/>
      <c r="D16" s="44"/>
      <c r="E16" s="44"/>
      <c r="F16" s="45"/>
      <c r="G16" s="45"/>
      <c r="H16" s="46"/>
      <c r="J16" s="4"/>
      <c r="K16" s="4"/>
      <c r="L16" s="4"/>
    </row>
    <row r="17" ht="15.75" customHeight="1">
      <c r="A17" s="44"/>
      <c r="B17" s="44"/>
      <c r="C17" s="44"/>
      <c r="D17" s="44"/>
      <c r="E17" s="45" t="s">
        <v>26</v>
      </c>
      <c r="F17" s="45" t="s">
        <v>27</v>
      </c>
      <c r="G17" s="45" t="s">
        <v>28</v>
      </c>
      <c r="H17" s="46"/>
      <c r="J17" s="4"/>
      <c r="K17" s="4"/>
      <c r="L17" s="4"/>
    </row>
    <row r="18" ht="15.75" customHeight="1">
      <c r="A18" s="44"/>
      <c r="B18" s="44"/>
      <c r="C18" s="44"/>
      <c r="D18" s="44"/>
      <c r="E18" s="44">
        <f t="shared" ref="E18:F18" si="10">E13*1000</f>
        <v>78000</v>
      </c>
      <c r="F18" s="47">
        <f t="shared" si="10"/>
        <v>130000</v>
      </c>
      <c r="G18" s="47">
        <f>(H2/F18)*1000</f>
        <v>1153.846154</v>
      </c>
      <c r="H18" s="46"/>
      <c r="J18" s="4"/>
      <c r="K18" s="4"/>
      <c r="L18" s="4"/>
    </row>
    <row r="19" ht="15.75" customHeight="1">
      <c r="A19" s="6"/>
      <c r="B19" s="4"/>
      <c r="C19" s="4"/>
      <c r="D19" s="4"/>
      <c r="E19" s="4"/>
      <c r="F19" s="4"/>
      <c r="G19" s="22"/>
      <c r="H19" s="33"/>
      <c r="I19" s="4"/>
      <c r="J19" s="4"/>
      <c r="K19" s="4"/>
      <c r="L19" s="4"/>
    </row>
    <row r="20" ht="15.75" customHeight="1">
      <c r="A20" s="4"/>
      <c r="B20" s="48"/>
      <c r="C20" s="48"/>
      <c r="D20" s="48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6"/>
      <c r="B23" s="4"/>
      <c r="C23" s="4"/>
      <c r="D23" s="4"/>
      <c r="E23" s="6"/>
      <c r="F23" s="6"/>
      <c r="G23" s="6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6"/>
      <c r="B27" s="33"/>
      <c r="C27" s="33"/>
      <c r="D27" s="33"/>
      <c r="E27" s="4"/>
      <c r="F27" s="4"/>
      <c r="G27" s="4"/>
      <c r="H27" s="4"/>
      <c r="I27" s="4"/>
      <c r="J27" s="4"/>
      <c r="K27" s="4"/>
      <c r="L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  <col customWidth="1" min="11" max="11" width="13.63"/>
    <col customWidth="1" min="13" max="13" width="21.38"/>
    <col customWidth="1" min="14" max="14" width="15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150000.0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51698.0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0.3446533333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/>
      <c r="I7" s="15"/>
      <c r="J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49" t="s">
        <v>13</v>
      </c>
      <c r="I8" s="19" t="s">
        <v>14</v>
      </c>
      <c r="J8" s="20"/>
      <c r="K8" s="21" t="s">
        <v>15</v>
      </c>
      <c r="L8" s="22" t="s">
        <v>16</v>
      </c>
      <c r="M8" s="22" t="s">
        <v>17</v>
      </c>
      <c r="N8" s="6" t="s">
        <v>18</v>
      </c>
      <c r="O8" s="23" t="s">
        <v>29</v>
      </c>
      <c r="P8" s="24" t="s">
        <v>20</v>
      </c>
      <c r="Q8" s="24"/>
      <c r="R8" s="25"/>
    </row>
    <row r="9" ht="15.75" customHeight="1">
      <c r="A9" s="26" t="s">
        <v>21</v>
      </c>
      <c r="B9" s="27">
        <v>35.0</v>
      </c>
      <c r="C9" s="27">
        <v>1.0</v>
      </c>
      <c r="D9" s="28" t="s">
        <v>30</v>
      </c>
      <c r="E9" s="29">
        <f t="shared" ref="E9:E11" si="1">F9*0.6</f>
        <v>15</v>
      </c>
      <c r="F9" s="30">
        <f t="shared" ref="F9:F11" si="2">MROUND(B9*0.7,5)</f>
        <v>25</v>
      </c>
      <c r="G9" s="27">
        <v>570.0</v>
      </c>
      <c r="H9" s="50">
        <f t="shared" ref="H9:H11" si="3">F9*G9</f>
        <v>14250</v>
      </c>
      <c r="I9" s="51">
        <f t="shared" ref="I9:I12" si="4">M9+O9</f>
        <v>19950</v>
      </c>
      <c r="J9" s="20"/>
      <c r="K9" s="29">
        <f t="shared" ref="K9:K12" si="5">H9</f>
        <v>14250</v>
      </c>
      <c r="L9" s="32">
        <v>0.2</v>
      </c>
      <c r="M9" s="33">
        <f t="shared" ref="M9:M12" si="6">K9*0.8</f>
        <v>11400</v>
      </c>
      <c r="N9" s="34">
        <f t="shared" ref="N9:N12" si="7">K9-M9</f>
        <v>2850</v>
      </c>
      <c r="O9" s="35">
        <f t="shared" ref="O9:O12" si="8">N9*3</f>
        <v>8550</v>
      </c>
      <c r="P9" s="32">
        <f t="shared" ref="P9:P12" si="9">I9/H9</f>
        <v>1.4</v>
      </c>
      <c r="Q9" s="17"/>
    </row>
    <row r="10" ht="15.75" customHeight="1">
      <c r="A10" s="26" t="s">
        <v>21</v>
      </c>
      <c r="B10" s="27">
        <v>35.0</v>
      </c>
      <c r="C10" s="27">
        <v>1.0</v>
      </c>
      <c r="D10" s="28" t="s">
        <v>30</v>
      </c>
      <c r="E10" s="29">
        <f t="shared" si="1"/>
        <v>15</v>
      </c>
      <c r="F10" s="30">
        <f t="shared" si="2"/>
        <v>25</v>
      </c>
      <c r="G10" s="27">
        <v>570.0</v>
      </c>
      <c r="H10" s="50">
        <f t="shared" si="3"/>
        <v>14250</v>
      </c>
      <c r="I10" s="51">
        <f t="shared" si="4"/>
        <v>19950</v>
      </c>
      <c r="J10" s="20"/>
      <c r="K10" s="29">
        <f t="shared" si="5"/>
        <v>14250</v>
      </c>
      <c r="L10" s="32">
        <v>0.2</v>
      </c>
      <c r="M10" s="33">
        <f t="shared" si="6"/>
        <v>11400</v>
      </c>
      <c r="N10" s="34">
        <f t="shared" si="7"/>
        <v>2850</v>
      </c>
      <c r="O10" s="35">
        <f t="shared" si="8"/>
        <v>8550</v>
      </c>
      <c r="P10" s="32">
        <f t="shared" si="9"/>
        <v>1.4</v>
      </c>
      <c r="Q10" s="17"/>
    </row>
    <row r="11" ht="15.75" customHeight="1">
      <c r="A11" s="26" t="s">
        <v>21</v>
      </c>
      <c r="B11" s="36">
        <v>35.0</v>
      </c>
      <c r="C11" s="36">
        <v>1.0</v>
      </c>
      <c r="D11" s="28" t="s">
        <v>30</v>
      </c>
      <c r="E11" s="29">
        <f t="shared" si="1"/>
        <v>15</v>
      </c>
      <c r="F11" s="30">
        <f t="shared" si="2"/>
        <v>25</v>
      </c>
      <c r="G11" s="27">
        <v>570.0</v>
      </c>
      <c r="H11" s="50">
        <f t="shared" si="3"/>
        <v>14250</v>
      </c>
      <c r="I11" s="51">
        <f t="shared" si="4"/>
        <v>19950</v>
      </c>
      <c r="J11" s="20"/>
      <c r="K11" s="29">
        <f t="shared" si="5"/>
        <v>14250</v>
      </c>
      <c r="L11" s="32">
        <v>0.2</v>
      </c>
      <c r="M11" s="33">
        <f t="shared" si="6"/>
        <v>11400</v>
      </c>
      <c r="N11" s="34">
        <f t="shared" si="7"/>
        <v>2850</v>
      </c>
      <c r="O11" s="35">
        <f t="shared" si="8"/>
        <v>8550</v>
      </c>
      <c r="P11" s="32">
        <f t="shared" si="9"/>
        <v>1.4</v>
      </c>
    </row>
    <row r="12" ht="15.75" customHeight="1">
      <c r="A12" s="26" t="s">
        <v>31</v>
      </c>
      <c r="B12" s="27" t="s">
        <v>32</v>
      </c>
      <c r="C12" s="27" t="s">
        <v>32</v>
      </c>
      <c r="D12" s="28" t="s">
        <v>30</v>
      </c>
      <c r="E12" s="29"/>
      <c r="F12" s="30"/>
      <c r="G12" s="27"/>
      <c r="H12" s="52">
        <v>10000.0</v>
      </c>
      <c r="I12" s="51">
        <f t="shared" si="4"/>
        <v>14000</v>
      </c>
      <c r="J12" s="20"/>
      <c r="K12" s="29">
        <f t="shared" si="5"/>
        <v>10000</v>
      </c>
      <c r="L12" s="32">
        <v>0.2</v>
      </c>
      <c r="M12" s="33">
        <f t="shared" si="6"/>
        <v>8000</v>
      </c>
      <c r="N12" s="34">
        <f t="shared" si="7"/>
        <v>2000</v>
      </c>
      <c r="O12" s="35">
        <f t="shared" si="8"/>
        <v>6000</v>
      </c>
      <c r="P12" s="32">
        <f t="shared" si="9"/>
        <v>1.4</v>
      </c>
      <c r="Q12" s="17"/>
    </row>
    <row r="13" ht="15.75" customHeight="1">
      <c r="A13" s="14" t="s">
        <v>23</v>
      </c>
      <c r="B13" s="14"/>
      <c r="C13" s="14"/>
      <c r="D13" s="14"/>
      <c r="E13" s="14">
        <f>sum(E9:E12)</f>
        <v>45</v>
      </c>
      <c r="F13" s="14">
        <f>SUM(F9:F12)</f>
        <v>75</v>
      </c>
      <c r="G13" s="14"/>
      <c r="H13" s="53">
        <f>sum(H9:H12)</f>
        <v>52750</v>
      </c>
      <c r="I13" s="16">
        <f>SUM(I9:I12)</f>
        <v>73850</v>
      </c>
      <c r="J13" s="40" t="s">
        <v>24</v>
      </c>
      <c r="K13" s="24"/>
      <c r="L13" s="24"/>
      <c r="M13" s="17"/>
      <c r="N13" s="17"/>
      <c r="O13" s="17"/>
      <c r="P13" s="17"/>
      <c r="Q13" s="17"/>
    </row>
    <row r="14" ht="15.75" customHeight="1">
      <c r="H14" s="41">
        <f>J14*0.925</f>
        <v>90929.35</v>
      </c>
      <c r="J14" s="42">
        <f>H2-H4</f>
        <v>98302</v>
      </c>
      <c r="K14" s="24"/>
      <c r="L14" s="24"/>
      <c r="M14" s="17"/>
      <c r="N14" s="17"/>
      <c r="O14" s="17"/>
      <c r="P14" s="17"/>
      <c r="Q14" s="17"/>
    </row>
    <row r="15" ht="15.75" customHeight="1">
      <c r="H15" s="43">
        <f>H14-H13</f>
        <v>38179.35</v>
      </c>
      <c r="I15" s="54">
        <f>H14-I13</f>
        <v>17079.35</v>
      </c>
      <c r="J15" s="4"/>
      <c r="K15" s="4"/>
      <c r="L15" s="4"/>
    </row>
    <row r="16" ht="15.75" customHeight="1">
      <c r="A16" s="44" t="s">
        <v>25</v>
      </c>
      <c r="B16" s="44"/>
      <c r="C16" s="44"/>
      <c r="D16" s="44"/>
      <c r="E16" s="44"/>
      <c r="F16" s="45"/>
      <c r="G16" s="45"/>
      <c r="H16" s="46"/>
      <c r="J16" s="4"/>
      <c r="K16" s="4"/>
      <c r="L16" s="4"/>
    </row>
    <row r="17" ht="15.75" customHeight="1">
      <c r="A17" s="44"/>
      <c r="B17" s="44"/>
      <c r="C17" s="44"/>
      <c r="D17" s="44"/>
      <c r="E17" s="45" t="s">
        <v>26</v>
      </c>
      <c r="F17" s="45" t="s">
        <v>27</v>
      </c>
      <c r="G17" s="45" t="s">
        <v>28</v>
      </c>
      <c r="H17" s="46"/>
      <c r="J17" s="4"/>
      <c r="K17" s="4"/>
      <c r="L17" s="4"/>
    </row>
    <row r="18" ht="15.75" customHeight="1">
      <c r="A18" s="44"/>
      <c r="B18" s="44"/>
      <c r="C18" s="44"/>
      <c r="D18" s="44"/>
      <c r="E18" s="44">
        <f t="shared" ref="E18:F18" si="10">E13*1000</f>
        <v>45000</v>
      </c>
      <c r="F18" s="55">
        <f t="shared" si="10"/>
        <v>75000</v>
      </c>
      <c r="G18" s="47">
        <f>(H2/F18)*1000</f>
        <v>2000</v>
      </c>
      <c r="H18" s="46"/>
      <c r="J18" s="4"/>
      <c r="K18" s="4"/>
      <c r="L18" s="4"/>
    </row>
    <row r="19" ht="15.75" customHeight="1">
      <c r="A19" s="6"/>
      <c r="B19" s="4"/>
      <c r="C19" s="4"/>
      <c r="D19" s="4"/>
      <c r="E19" s="4"/>
      <c r="F19" s="56"/>
      <c r="G19" s="22"/>
      <c r="H19" s="33"/>
      <c r="I19" s="4"/>
      <c r="J19" s="4"/>
      <c r="K19" s="4"/>
      <c r="L19" s="4"/>
    </row>
    <row r="20" ht="15.75" customHeight="1">
      <c r="A20" s="4"/>
      <c r="B20" s="48"/>
      <c r="C20" s="48"/>
      <c r="D20" s="48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6"/>
      <c r="B23" s="4"/>
      <c r="C23" s="4"/>
      <c r="D23" s="4"/>
      <c r="E23" s="6"/>
      <c r="F23" s="6"/>
      <c r="G23" s="6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6"/>
      <c r="B27" s="33"/>
      <c r="C27" s="33"/>
      <c r="D27" s="33"/>
      <c r="E27" s="4"/>
      <c r="F27" s="4"/>
      <c r="G27" s="4"/>
      <c r="H27" s="4"/>
      <c r="I27" s="4"/>
      <c r="J27" s="4"/>
      <c r="K27" s="4"/>
      <c r="L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  <col customWidth="1" min="11" max="11" width="13.63"/>
    <col customWidth="1" min="13" max="13" width="21.38"/>
    <col customWidth="1" min="14" max="14" width="15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170000.0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63509.0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0.3735823529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/>
      <c r="I7" s="15"/>
      <c r="J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49" t="s">
        <v>13</v>
      </c>
      <c r="I8" s="19" t="s">
        <v>14</v>
      </c>
      <c r="J8" s="20"/>
      <c r="K8" s="21" t="s">
        <v>15</v>
      </c>
      <c r="L8" s="22" t="s">
        <v>16</v>
      </c>
      <c r="M8" s="22" t="s">
        <v>17</v>
      </c>
      <c r="N8" s="6" t="s">
        <v>18</v>
      </c>
      <c r="O8" s="23" t="s">
        <v>29</v>
      </c>
      <c r="P8" s="24" t="s">
        <v>20</v>
      </c>
      <c r="Q8" s="24"/>
      <c r="R8" s="25"/>
    </row>
    <row r="9" ht="15.75" customHeight="1">
      <c r="A9" s="26" t="s">
        <v>21</v>
      </c>
      <c r="B9" s="27">
        <v>35.0</v>
      </c>
      <c r="C9" s="27">
        <v>1.0</v>
      </c>
      <c r="D9" s="28" t="s">
        <v>30</v>
      </c>
      <c r="E9" s="29">
        <f t="shared" ref="E9:E11" si="1">F9*0.6</f>
        <v>15</v>
      </c>
      <c r="F9" s="30">
        <f t="shared" ref="F9:F11" si="2">MROUND(B9*0.7,5)</f>
        <v>25</v>
      </c>
      <c r="G9" s="27">
        <v>570.0</v>
      </c>
      <c r="H9" s="50">
        <f t="shared" ref="H9:H11" si="3">F9*G9</f>
        <v>14250</v>
      </c>
      <c r="I9" s="51">
        <f t="shared" ref="I9:I13" si="4">M9+O9</f>
        <v>19950</v>
      </c>
      <c r="J9" s="20"/>
      <c r="K9" s="29">
        <f t="shared" ref="K9:K13" si="5">H9</f>
        <v>14250</v>
      </c>
      <c r="L9" s="32">
        <v>0.2</v>
      </c>
      <c r="M9" s="33">
        <f t="shared" ref="M9:M13" si="6">K9*0.8</f>
        <v>11400</v>
      </c>
      <c r="N9" s="34">
        <f t="shared" ref="N9:N13" si="7">K9-M9</f>
        <v>2850</v>
      </c>
      <c r="O9" s="35">
        <f t="shared" ref="O9:O13" si="8">N9*3</f>
        <v>8550</v>
      </c>
      <c r="P9" s="32">
        <f t="shared" ref="P9:P13" si="9">I9/H9</f>
        <v>1.4</v>
      </c>
      <c r="Q9" s="17"/>
    </row>
    <row r="10" ht="15.75" customHeight="1">
      <c r="A10" s="26" t="s">
        <v>21</v>
      </c>
      <c r="B10" s="27">
        <v>35.0</v>
      </c>
      <c r="C10" s="27">
        <v>1.0</v>
      </c>
      <c r="D10" s="28" t="s">
        <v>30</v>
      </c>
      <c r="E10" s="29">
        <f t="shared" si="1"/>
        <v>15</v>
      </c>
      <c r="F10" s="30">
        <f t="shared" si="2"/>
        <v>25</v>
      </c>
      <c r="G10" s="27">
        <v>570.0</v>
      </c>
      <c r="H10" s="50">
        <f t="shared" si="3"/>
        <v>14250</v>
      </c>
      <c r="I10" s="51">
        <f t="shared" si="4"/>
        <v>19950</v>
      </c>
      <c r="J10" s="20"/>
      <c r="K10" s="29">
        <f t="shared" si="5"/>
        <v>14250</v>
      </c>
      <c r="L10" s="32">
        <v>0.2</v>
      </c>
      <c r="M10" s="33">
        <f t="shared" si="6"/>
        <v>11400</v>
      </c>
      <c r="N10" s="34">
        <f t="shared" si="7"/>
        <v>2850</v>
      </c>
      <c r="O10" s="35">
        <f t="shared" si="8"/>
        <v>8550</v>
      </c>
      <c r="P10" s="32">
        <f t="shared" si="9"/>
        <v>1.4</v>
      </c>
      <c r="Q10" s="17"/>
    </row>
    <row r="11" ht="15.75" customHeight="1">
      <c r="A11" s="26" t="s">
        <v>21</v>
      </c>
      <c r="B11" s="36">
        <v>35.0</v>
      </c>
      <c r="C11" s="36">
        <v>1.0</v>
      </c>
      <c r="D11" s="28" t="s">
        <v>30</v>
      </c>
      <c r="E11" s="29">
        <f t="shared" si="1"/>
        <v>15</v>
      </c>
      <c r="F11" s="30">
        <f t="shared" si="2"/>
        <v>25</v>
      </c>
      <c r="G11" s="27">
        <v>570.0</v>
      </c>
      <c r="H11" s="50">
        <f t="shared" si="3"/>
        <v>14250</v>
      </c>
      <c r="I11" s="51">
        <f t="shared" si="4"/>
        <v>19950</v>
      </c>
      <c r="J11" s="20"/>
      <c r="K11" s="29">
        <f t="shared" si="5"/>
        <v>14250</v>
      </c>
      <c r="L11" s="32">
        <v>0.2</v>
      </c>
      <c r="M11" s="33">
        <f t="shared" si="6"/>
        <v>11400</v>
      </c>
      <c r="N11" s="34">
        <f t="shared" si="7"/>
        <v>2850</v>
      </c>
      <c r="O11" s="35">
        <f t="shared" si="8"/>
        <v>8550</v>
      </c>
      <c r="P11" s="32">
        <f t="shared" si="9"/>
        <v>1.4</v>
      </c>
    </row>
    <row r="12" ht="15.75" customHeight="1">
      <c r="A12" s="26" t="s">
        <v>31</v>
      </c>
      <c r="B12" s="27" t="s">
        <v>32</v>
      </c>
      <c r="C12" s="27" t="s">
        <v>32</v>
      </c>
      <c r="D12" s="28" t="s">
        <v>30</v>
      </c>
      <c r="E12" s="29"/>
      <c r="F12" s="30"/>
      <c r="G12" s="27"/>
      <c r="H12" s="52">
        <v>10000.0</v>
      </c>
      <c r="I12" s="51">
        <f t="shared" si="4"/>
        <v>14000</v>
      </c>
      <c r="J12" s="20"/>
      <c r="K12" s="29">
        <f t="shared" si="5"/>
        <v>10000</v>
      </c>
      <c r="L12" s="32">
        <v>0.2</v>
      </c>
      <c r="M12" s="33">
        <f t="shared" si="6"/>
        <v>8000</v>
      </c>
      <c r="N12" s="34">
        <f t="shared" si="7"/>
        <v>2000</v>
      </c>
      <c r="O12" s="35">
        <f t="shared" si="8"/>
        <v>6000</v>
      </c>
      <c r="P12" s="32">
        <f t="shared" si="9"/>
        <v>1.4</v>
      </c>
      <c r="Q12" s="17"/>
    </row>
    <row r="13" ht="15.75" customHeight="1">
      <c r="A13" s="26" t="s">
        <v>31</v>
      </c>
      <c r="B13" s="27" t="s">
        <v>32</v>
      </c>
      <c r="C13" s="27" t="s">
        <v>32</v>
      </c>
      <c r="D13" s="28" t="s">
        <v>33</v>
      </c>
      <c r="E13" s="29"/>
      <c r="F13" s="30"/>
      <c r="G13" s="27"/>
      <c r="H13" s="52">
        <v>10000.0</v>
      </c>
      <c r="I13" s="51">
        <f t="shared" si="4"/>
        <v>14000</v>
      </c>
      <c r="J13" s="20"/>
      <c r="K13" s="29">
        <f t="shared" si="5"/>
        <v>10000</v>
      </c>
      <c r="L13" s="32">
        <v>0.2</v>
      </c>
      <c r="M13" s="33">
        <f t="shared" si="6"/>
        <v>8000</v>
      </c>
      <c r="N13" s="34">
        <f t="shared" si="7"/>
        <v>2000</v>
      </c>
      <c r="O13" s="35">
        <f t="shared" si="8"/>
        <v>6000</v>
      </c>
      <c r="P13" s="32">
        <f t="shared" si="9"/>
        <v>1.4</v>
      </c>
      <c r="Q13" s="17"/>
    </row>
    <row r="14" ht="15.75" customHeight="1">
      <c r="A14" s="14" t="s">
        <v>23</v>
      </c>
      <c r="B14" s="14"/>
      <c r="C14" s="14"/>
      <c r="D14" s="14"/>
      <c r="E14" s="14">
        <f>sum(E9:E12)</f>
        <v>45</v>
      </c>
      <c r="F14" s="14">
        <f>SUM(F9:F12)</f>
        <v>75</v>
      </c>
      <c r="G14" s="14"/>
      <c r="H14" s="53">
        <f>sum(H9:H12)</f>
        <v>52750</v>
      </c>
      <c r="I14" s="16">
        <f>SUM(I9:I13)</f>
        <v>87850</v>
      </c>
      <c r="J14" s="40" t="s">
        <v>24</v>
      </c>
      <c r="K14" s="24"/>
      <c r="L14" s="24"/>
      <c r="M14" s="17"/>
      <c r="N14" s="17"/>
      <c r="O14" s="17"/>
      <c r="P14" s="17"/>
      <c r="Q14" s="17"/>
    </row>
    <row r="15" ht="15.75" customHeight="1">
      <c r="H15" s="41">
        <f>J15*0.925</f>
        <v>98504.175</v>
      </c>
      <c r="J15" s="42">
        <f>H2-H4</f>
        <v>106491</v>
      </c>
      <c r="K15" s="24"/>
      <c r="L15" s="24"/>
      <c r="M15" s="17"/>
      <c r="N15" s="17"/>
      <c r="O15" s="17"/>
      <c r="P15" s="17"/>
      <c r="Q15" s="17"/>
    </row>
    <row r="16" ht="15.75" customHeight="1">
      <c r="H16" s="43">
        <f>H15-H14</f>
        <v>45754.175</v>
      </c>
      <c r="I16" s="54">
        <f>H15-I14</f>
        <v>10654.175</v>
      </c>
      <c r="J16" s="4"/>
      <c r="K16" s="4"/>
      <c r="L16" s="4"/>
    </row>
    <row r="17" ht="15.75" customHeight="1">
      <c r="A17" s="44" t="s">
        <v>25</v>
      </c>
      <c r="B17" s="44"/>
      <c r="C17" s="44"/>
      <c r="D17" s="44"/>
      <c r="E17" s="44"/>
      <c r="F17" s="45"/>
      <c r="G17" s="45"/>
      <c r="H17" s="46"/>
      <c r="J17" s="4"/>
      <c r="K17" s="4"/>
      <c r="L17" s="4"/>
    </row>
    <row r="18" ht="15.75" customHeight="1">
      <c r="A18" s="44"/>
      <c r="B18" s="44"/>
      <c r="C18" s="44"/>
      <c r="D18" s="44"/>
      <c r="E18" s="45" t="s">
        <v>26</v>
      </c>
      <c r="F18" s="45" t="s">
        <v>27</v>
      </c>
      <c r="G18" s="45" t="s">
        <v>28</v>
      </c>
      <c r="H18" s="46"/>
      <c r="J18" s="4"/>
      <c r="K18" s="4"/>
      <c r="L18" s="4"/>
    </row>
    <row r="19" ht="15.75" customHeight="1">
      <c r="A19" s="44"/>
      <c r="B19" s="44"/>
      <c r="C19" s="44"/>
      <c r="D19" s="44"/>
      <c r="E19" s="44">
        <f t="shared" ref="E19:F19" si="10">E14*1000</f>
        <v>45000</v>
      </c>
      <c r="F19" s="55">
        <f t="shared" si="10"/>
        <v>75000</v>
      </c>
      <c r="G19" s="47">
        <f>(H2/F19)*1000</f>
        <v>2266.666667</v>
      </c>
      <c r="H19" s="46"/>
      <c r="J19" s="4"/>
      <c r="K19" s="4"/>
      <c r="L19" s="4"/>
    </row>
    <row r="20" ht="15.75" customHeight="1">
      <c r="A20" s="6"/>
      <c r="B20" s="4"/>
      <c r="C20" s="4"/>
      <c r="D20" s="4"/>
      <c r="E20" s="4"/>
      <c r="F20" s="56"/>
      <c r="G20" s="22"/>
      <c r="H20" s="33"/>
      <c r="I20" s="4"/>
      <c r="J20" s="4"/>
      <c r="K20" s="4"/>
      <c r="L20" s="4"/>
    </row>
    <row r="21" ht="15.75" customHeight="1">
      <c r="A21" s="4"/>
      <c r="B21" s="48"/>
      <c r="C21" s="48"/>
      <c r="D21" s="48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6"/>
      <c r="B24" s="4"/>
      <c r="C24" s="4"/>
      <c r="D24" s="4"/>
      <c r="E24" s="6"/>
      <c r="F24" s="6"/>
      <c r="G24" s="6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6"/>
      <c r="B28" s="33"/>
      <c r="C28" s="33"/>
      <c r="D28" s="33"/>
      <c r="E28" s="4"/>
      <c r="F28" s="4"/>
      <c r="G28" s="4"/>
      <c r="H28" s="4"/>
      <c r="I28" s="4"/>
      <c r="J28" s="4"/>
      <c r="K28" s="4"/>
      <c r="L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  <col customWidth="1" min="11" max="11" width="13.63"/>
    <col customWidth="1" min="13" max="13" width="21.38"/>
    <col customWidth="1" min="14" max="14" width="15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150000.0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63509.0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0.4233933333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/>
      <c r="I7" s="15"/>
      <c r="J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6"/>
      <c r="J8" s="20"/>
      <c r="K8" s="21"/>
      <c r="L8" s="22"/>
      <c r="M8" s="22"/>
      <c r="N8" s="6"/>
      <c r="O8" s="23"/>
      <c r="P8" s="24"/>
      <c r="Q8" s="24"/>
      <c r="R8" s="25"/>
    </row>
    <row r="9" ht="15.75" customHeight="1">
      <c r="A9" s="26" t="s">
        <v>21</v>
      </c>
      <c r="B9" s="27">
        <v>35.0</v>
      </c>
      <c r="C9" s="27">
        <v>1.0</v>
      </c>
      <c r="D9" s="57">
        <v>46233.0</v>
      </c>
      <c r="E9" s="29">
        <f t="shared" ref="E9:E11" si="1">F9*0.6</f>
        <v>15</v>
      </c>
      <c r="F9" s="30">
        <f t="shared" ref="F9:F11" si="2">MROUND(B9*0.7,5)</f>
        <v>25</v>
      </c>
      <c r="G9" s="27">
        <v>570.0</v>
      </c>
      <c r="H9" s="29">
        <f t="shared" ref="H9:H11" si="3">F9*G9</f>
        <v>14250</v>
      </c>
      <c r="I9" s="58"/>
      <c r="J9" s="20"/>
      <c r="K9" s="29"/>
      <c r="L9" s="32"/>
      <c r="M9" s="33"/>
      <c r="N9" s="34"/>
      <c r="O9" s="35"/>
      <c r="P9" s="32"/>
      <c r="Q9" s="17"/>
    </row>
    <row r="10" ht="15.75" customHeight="1">
      <c r="A10" s="26" t="s">
        <v>21</v>
      </c>
      <c r="B10" s="27">
        <v>35.0</v>
      </c>
      <c r="C10" s="27">
        <v>1.0</v>
      </c>
      <c r="D10" s="57">
        <v>46233.0</v>
      </c>
      <c r="E10" s="29">
        <f t="shared" si="1"/>
        <v>15</v>
      </c>
      <c r="F10" s="30">
        <f t="shared" si="2"/>
        <v>25</v>
      </c>
      <c r="G10" s="27">
        <v>570.0</v>
      </c>
      <c r="H10" s="29">
        <f t="shared" si="3"/>
        <v>14250</v>
      </c>
      <c r="I10" s="58"/>
      <c r="J10" s="20"/>
      <c r="K10" s="29"/>
      <c r="L10" s="32"/>
      <c r="M10" s="33"/>
      <c r="N10" s="34"/>
      <c r="O10" s="35"/>
      <c r="P10" s="32"/>
      <c r="Q10" s="17"/>
    </row>
    <row r="11" ht="15.75" customHeight="1">
      <c r="A11" s="26" t="s">
        <v>21</v>
      </c>
      <c r="B11" s="36">
        <v>75.0</v>
      </c>
      <c r="C11" s="36">
        <v>1.0</v>
      </c>
      <c r="D11" s="57">
        <v>46233.0</v>
      </c>
      <c r="E11" s="29">
        <f t="shared" si="1"/>
        <v>33</v>
      </c>
      <c r="F11" s="30">
        <f t="shared" si="2"/>
        <v>55</v>
      </c>
      <c r="G11" s="27">
        <v>570.0</v>
      </c>
      <c r="H11" s="29">
        <f t="shared" si="3"/>
        <v>31350</v>
      </c>
      <c r="I11" s="58"/>
      <c r="J11" s="20"/>
      <c r="K11" s="29"/>
      <c r="L11" s="32"/>
      <c r="M11" s="33"/>
      <c r="N11" s="34"/>
      <c r="O11" s="35"/>
      <c r="P11" s="32"/>
    </row>
    <row r="12" ht="15.75" customHeight="1">
      <c r="A12" s="26" t="s">
        <v>31</v>
      </c>
      <c r="B12" s="27" t="s">
        <v>32</v>
      </c>
      <c r="C12" s="27" t="s">
        <v>32</v>
      </c>
      <c r="D12" s="57">
        <v>46233.0</v>
      </c>
      <c r="E12" s="29"/>
      <c r="F12" s="30"/>
      <c r="G12" s="27"/>
      <c r="H12" s="59">
        <v>10000.0</v>
      </c>
      <c r="I12" s="4"/>
      <c r="J12" s="4"/>
      <c r="K12" s="4"/>
      <c r="L12" s="4"/>
    </row>
    <row r="13" ht="15.75" customHeight="1">
      <c r="A13" s="26" t="s">
        <v>31</v>
      </c>
      <c r="B13" s="27" t="s">
        <v>32</v>
      </c>
      <c r="C13" s="27" t="s">
        <v>32</v>
      </c>
      <c r="D13" s="57">
        <v>46233.0</v>
      </c>
      <c r="E13" s="29"/>
      <c r="F13" s="30"/>
      <c r="G13" s="27"/>
      <c r="H13" s="59">
        <v>10000.0</v>
      </c>
      <c r="I13" s="58"/>
      <c r="J13" s="20"/>
      <c r="K13" s="29"/>
      <c r="L13" s="32"/>
      <c r="M13" s="33"/>
      <c r="N13" s="34"/>
      <c r="O13" s="35"/>
      <c r="P13" s="32"/>
      <c r="Q13" s="17"/>
    </row>
    <row r="14" ht="15.75" customHeight="1">
      <c r="A14" s="14" t="s">
        <v>23</v>
      </c>
      <c r="B14" s="14"/>
      <c r="C14" s="14"/>
      <c r="D14" s="14"/>
      <c r="E14" s="14">
        <f>sum(E9:E13)</f>
        <v>63</v>
      </c>
      <c r="F14" s="14">
        <f>SUM(F9:F13)</f>
        <v>105</v>
      </c>
      <c r="G14" s="14"/>
      <c r="H14" s="14">
        <f>sum(H9:H13)</f>
        <v>79850</v>
      </c>
      <c r="I14" s="40" t="s">
        <v>24</v>
      </c>
      <c r="K14" s="24"/>
      <c r="L14" s="24"/>
      <c r="M14" s="17"/>
      <c r="N14" s="17"/>
      <c r="O14" s="17"/>
      <c r="P14" s="17"/>
      <c r="Q14" s="17"/>
    </row>
    <row r="15" ht="15.75" customHeight="1">
      <c r="H15" s="41">
        <f>I15*0.925</f>
        <v>80004.175</v>
      </c>
      <c r="I15" s="42">
        <f>H2-H4</f>
        <v>86491</v>
      </c>
      <c r="K15" s="24"/>
      <c r="L15" s="24"/>
      <c r="M15" s="17"/>
      <c r="N15" s="17"/>
      <c r="O15" s="17"/>
      <c r="P15" s="17"/>
      <c r="Q15" s="17"/>
    </row>
    <row r="16" ht="15.75" customHeight="1">
      <c r="H16" s="43">
        <f>H15-H14</f>
        <v>154.175</v>
      </c>
      <c r="I16" s="16"/>
      <c r="J16" s="4"/>
      <c r="K16" s="4"/>
      <c r="L16" s="4"/>
    </row>
    <row r="17" ht="15.75" customHeight="1">
      <c r="A17" s="44" t="s">
        <v>25</v>
      </c>
      <c r="B17" s="44"/>
      <c r="C17" s="44"/>
      <c r="D17" s="44"/>
      <c r="E17" s="44"/>
      <c r="F17" s="45"/>
      <c r="G17" s="45"/>
      <c r="H17" s="46"/>
      <c r="J17" s="4"/>
      <c r="K17" s="4"/>
      <c r="L17" s="4"/>
    </row>
    <row r="18" ht="15.75" customHeight="1">
      <c r="A18" s="44"/>
      <c r="B18" s="44"/>
      <c r="C18" s="44"/>
      <c r="D18" s="44"/>
      <c r="E18" s="45" t="s">
        <v>26</v>
      </c>
      <c r="F18" s="45" t="s">
        <v>27</v>
      </c>
      <c r="G18" s="45" t="s">
        <v>28</v>
      </c>
      <c r="H18" s="46"/>
      <c r="J18" s="4"/>
      <c r="K18" s="4"/>
      <c r="L18" s="4"/>
    </row>
    <row r="19" ht="15.75" customHeight="1">
      <c r="A19" s="44"/>
      <c r="B19" s="44"/>
      <c r="C19" s="44"/>
      <c r="D19" s="44"/>
      <c r="E19" s="44">
        <f t="shared" ref="E19:F19" si="4">E14*1000</f>
        <v>63000</v>
      </c>
      <c r="F19" s="55">
        <f t="shared" si="4"/>
        <v>105000</v>
      </c>
      <c r="G19" s="47">
        <f>(H2/F19)*1000</f>
        <v>1428.571429</v>
      </c>
      <c r="H19" s="46"/>
      <c r="J19" s="4"/>
      <c r="K19" s="4"/>
      <c r="L19" s="4"/>
    </row>
    <row r="20" ht="15.75" customHeight="1">
      <c r="A20" s="6"/>
      <c r="B20" s="4"/>
      <c r="C20" s="4"/>
      <c r="D20" s="4"/>
      <c r="E20" s="4"/>
      <c r="F20" s="56"/>
      <c r="G20" s="22"/>
      <c r="H20" s="33"/>
      <c r="I20" s="4"/>
      <c r="J20" s="4"/>
      <c r="K20" s="4"/>
      <c r="L20" s="4"/>
    </row>
    <row r="21" ht="15.75" customHeight="1">
      <c r="A21" s="4"/>
      <c r="B21" s="48"/>
      <c r="C21" s="48"/>
      <c r="D21" s="48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6"/>
      <c r="B23" s="4"/>
      <c r="C23" s="4"/>
      <c r="D23" s="4"/>
      <c r="E23" s="6"/>
      <c r="F23" s="6"/>
      <c r="G23" s="6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6"/>
      <c r="B27" s="33"/>
      <c r="C27" s="33"/>
      <c r="D27" s="33"/>
      <c r="E27" s="4"/>
      <c r="F27" s="4"/>
      <c r="G27" s="4"/>
      <c r="H27" s="4"/>
      <c r="I27" s="4"/>
      <c r="J27" s="4"/>
      <c r="K27" s="4"/>
      <c r="L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