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K 17K Kalkylmall Paid + Org." sheetId="1" r:id="rId4"/>
    <sheet state="visible" name="DK 52K Kalkylmall Paid + Org." sheetId="2" r:id="rId5"/>
    <sheet state="visible" name="FI 17K Kalkylmall Paid + Org." sheetId="3" r:id="rId6"/>
    <sheet state="visible" name="FI 52K Kalkylmall Paid + Org." sheetId="4" r:id="rId7"/>
  </sheets>
  <definedNames/>
  <calcPr/>
  <extLst>
    <ext uri="GoogleSheetsCustomDataVersion2">
      <go:sheetsCustomData xmlns:go="http://customooxmlschemas.google.com/" r:id="rId8" roundtripDataChecksum="PVMyxMohXHUH6AafRXLRorK/jD+IrlFfM2JS+1rwVFI="/>
    </ext>
  </extLst>
</workbook>
</file>

<file path=xl/sharedStrings.xml><?xml version="1.0" encoding="utf-8"?>
<sst xmlns="http://schemas.openxmlformats.org/spreadsheetml/2006/main" count="192" uniqueCount="30">
  <si>
    <t>Valuta</t>
  </si>
  <si>
    <t>EUR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</si>
  <si>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</si>
  <si>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</si>
  <si>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</si>
  <si>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</si>
  <si>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</si>
  <si>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</si>
  <si>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</si>
  <si>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</si>
  <si>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</si>
  <si>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</si>
  <si>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</si>
  <si>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TikTok</t>
  </si>
  <si>
    <t>räckvidd/trafik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</si>
  <si>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</si>
  <si>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</si>
  <si>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</si>
  <si>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</si>
  <si>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</si>
  <si>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</si>
  <si>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</si>
  <si>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</si>
  <si>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</si>
  <si>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TikTok</t>
  </si>
  <si>
    <t>7-30 dagar</t>
  </si>
  <si>
    <t>inkl 7,5%</t>
  </si>
  <si>
    <t>TOTAL CAMPAIGN</t>
  </si>
  <si>
    <t>CPM</t>
  </si>
  <si>
    <t>x§x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</si>
</sst>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### ##0"/>
    <numFmt numFmtId="165" formatCode="# ### ##0.0"/>
    <numFmt numFmtId="166" formatCode="0.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1" xfId="0" applyAlignment="1" applyFont="1" applyNumberForma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" xfId="0" applyFont="1" applyNumberFormat="1"/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2" xfId="0" applyAlignment="1" applyFont="1" applyNumberForma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6" fontId="2" numFmtId="1" xfId="0" applyFont="1" applyNumberFormat="1"/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7" fontId="1" numFmtId="1" xfId="0" applyFont="1" applyNumberFormat="1"/>
    <xf borderId="0" fillId="0" fontId="3" numFmtId="0" xfId="0" applyAlignment="1" applyFont="1">
      <alignment horizontal="right"/>
    </xf>
    <xf borderId="0" fillId="0" fontId="5" numFmtId="1" xfId="0" applyFont="1" applyNumberFormat="1"/>
    <xf borderId="0" fillId="0" fontId="6" numFmtId="1" xfId="0" applyFont="1" applyNumberFormat="1"/>
    <xf borderId="0" fillId="0" fontId="4" numFmtId="1" xfId="0" applyFont="1" applyNumberForma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1" numFmtId="1" xfId="0" applyFont="1" applyNumberFormat="1"/>
    <xf borderId="0" fillId="8" fontId="7" numFmtId="1" xfId="0" applyFont="1" applyNumberFormat="1"/>
    <xf borderId="0" fillId="8" fontId="7" numFmtId="166" xfId="0" applyFont="1" applyNumberForma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5" fontId="1" numFmtId="0" xfId="0" applyFont="1"/>
    <xf borderId="0" fillId="0" fontId="2" numFmtId="0" xfId="0" applyAlignment="1" applyFont="1">
      <alignment horizontal="right" vertical="bottom"/>
    </xf>
    <xf borderId="0" fillId="0" fontId="4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DK 52K Kalkylmall Paid + Org.-style">
      <tableStyleElement dxfId="1" type="firstRowStripe"/>
      <tableStyleElement dxfId="2" type="secondRowStripe"/>
    </tableStyle>
    <tableStyle count="2" pivot="0" name="FI 52K Kalkylmall Paid + Org.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J18:J23" displayName="Table_1" name="Table_1" id="1">
  <tableColumns count="1">
    <tableColumn name="Column1" id="1"/>
  </tableColumns>
  <tableStyleInfo name="DK 52K Kalkylmall Paid + Org.-style" showColumnStripes="0" showFirstColumn="1" showLastColumn="1" showRowStripes="1"/>
</table>
</file>

<file path=xl/tables/table2.xml><?xml version="1.0" encoding="utf-8"?>
<table xmlns="http://schemas.openxmlformats.org/spreadsheetml/2006/main" headerRowCount="0" ref="J18:J23" displayName="Table_2" name="Table_2" id="2">
  <tableColumns count="1">
    <tableColumn name="Column1" id="1"/>
  </tableColumns>
  <tableStyleInfo name="FI 52K Kalkylmall Paid + Org.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17000.0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5486.4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0.3227294118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2500.0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0.1470588235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4.0</v>
      </c>
      <c r="C10" s="22">
        <f>2000*0.097</f>
        <v>194</v>
      </c>
      <c r="D10" s="23"/>
      <c r="E10" s="23"/>
      <c r="F10" s="23"/>
      <c r="G10" s="23"/>
      <c r="H10" s="23">
        <f>B10*C10</f>
        <v>776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3"/>
      <c r="C11" s="23"/>
      <c r="D11" s="20" t="s">
        <v>14</v>
      </c>
      <c r="E11" s="24">
        <f t="shared" ref="E11:E12" si="1">F11*0.25</f>
        <v>244233.3333</v>
      </c>
      <c r="F11" s="24">
        <f>sum(1000*H11)/G11*0.85</f>
        <v>976933.3333</v>
      </c>
      <c r="G11" s="25">
        <v>1.5</v>
      </c>
      <c r="H11" s="26">
        <v>1724.0</v>
      </c>
      <c r="I11" s="27"/>
      <c r="K11" s="19"/>
      <c r="L11" s="19"/>
      <c r="M11" s="19"/>
      <c r="N11" s="19"/>
      <c r="O11" s="19"/>
      <c r="P11" s="19"/>
      <c r="Q11" s="19"/>
    </row>
    <row r="12" ht="15.75" customHeight="1">
      <c r="A12" s="14" t="s">
        <v>15</v>
      </c>
      <c r="B12" s="14"/>
      <c r="C12" s="14"/>
      <c r="D12" s="14"/>
      <c r="E12" s="28">
        <f t="shared" si="1"/>
        <v>244.2333333</v>
      </c>
      <c r="F12" s="29">
        <f>sum(F10:F11)/1000</f>
        <v>976.9333333</v>
      </c>
      <c r="G12" s="30"/>
      <c r="H12" s="31">
        <f>sum(H10:H11)</f>
        <v>2500</v>
      </c>
      <c r="I12" s="32"/>
      <c r="K12" s="19"/>
      <c r="L12" s="19"/>
      <c r="M12" s="19"/>
      <c r="N12" s="19"/>
      <c r="O12" s="19"/>
      <c r="P12" s="19"/>
      <c r="Q12" s="19"/>
    </row>
    <row r="13" ht="15.75" customHeight="1">
      <c r="A13" s="18" t="s">
        <v>4</v>
      </c>
      <c r="B13" s="14"/>
      <c r="C13" s="14"/>
      <c r="D13" s="14"/>
      <c r="E13" s="33"/>
      <c r="F13" s="34"/>
      <c r="G13" s="30"/>
      <c r="H13" s="35">
        <f>H12/H2</f>
        <v>0.1470588235</v>
      </c>
      <c r="I13" s="32"/>
      <c r="K13" s="19"/>
      <c r="L13" s="19"/>
      <c r="M13" s="19"/>
      <c r="N13" s="19"/>
      <c r="O13" s="19"/>
      <c r="P13" s="19"/>
      <c r="Q13" s="19"/>
    </row>
    <row r="14" ht="15.75" customHeight="1">
      <c r="I14" s="19"/>
      <c r="K14" s="19"/>
      <c r="L14" s="19"/>
      <c r="M14" s="19"/>
      <c r="N14" s="19"/>
      <c r="O14" s="19"/>
      <c r="P14" s="19"/>
      <c r="Q14" s="19"/>
    </row>
    <row r="15" ht="15.75" customHeight="1">
      <c r="A15" s="36" t="s">
        <v>16</v>
      </c>
      <c r="B15" s="36"/>
      <c r="C15" s="36"/>
      <c r="D15" s="36"/>
      <c r="E15" s="36"/>
      <c r="F15" s="36"/>
      <c r="G15" s="36"/>
      <c r="H15" s="36"/>
      <c r="I15" s="37"/>
      <c r="K15" s="19"/>
      <c r="L15" s="19"/>
      <c r="M15" s="19"/>
      <c r="N15" s="19"/>
      <c r="O15" s="19"/>
      <c r="P15" s="19"/>
      <c r="Q15" s="19"/>
    </row>
    <row r="16" ht="15.75" customHeight="1">
      <c r="A16" s="38" t="s">
        <v>17</v>
      </c>
      <c r="B16" s="38" t="s">
        <v>18</v>
      </c>
      <c r="C16" s="38" t="s">
        <v>19</v>
      </c>
      <c r="D16" s="38" t="s">
        <v>20</v>
      </c>
      <c r="E16" s="38" t="s">
        <v>9</v>
      </c>
      <c r="F16" s="38" t="s">
        <v>21</v>
      </c>
      <c r="G16" s="38" t="s">
        <v>22</v>
      </c>
      <c r="H16" s="38" t="s">
        <v>23</v>
      </c>
      <c r="I16" s="37"/>
      <c r="K16" s="19"/>
      <c r="L16" s="19"/>
      <c r="M16" s="19"/>
      <c r="N16" s="19"/>
      <c r="O16" s="19"/>
      <c r="P16" s="19"/>
      <c r="Q16" s="19"/>
    </row>
    <row r="17" ht="15.75" customHeight="1">
      <c r="A17" s="39" t="s">
        <v>24</v>
      </c>
      <c r="B17" s="21">
        <v>35.0</v>
      </c>
      <c r="C17" s="20"/>
      <c r="D17" s="40" t="s">
        <v>25</v>
      </c>
      <c r="E17" s="23">
        <f t="shared" ref="E17:E20" si="2">F17*0.6</f>
        <v>18</v>
      </c>
      <c r="F17" s="21">
        <v>30.0</v>
      </c>
      <c r="G17" s="41">
        <f t="shared" ref="G17:G20" si="3">36*1.2</f>
        <v>43.2</v>
      </c>
      <c r="H17" s="23">
        <f t="shared" ref="H17:H20" si="4">F17*G17</f>
        <v>1296</v>
      </c>
      <c r="K17" s="19"/>
      <c r="L17" s="32"/>
      <c r="M17" s="32"/>
      <c r="N17" s="7"/>
      <c r="O17" s="27"/>
      <c r="P17" s="32"/>
      <c r="Q17" s="19"/>
    </row>
    <row r="18" ht="15.75" customHeight="1">
      <c r="A18" s="39" t="s">
        <v>24</v>
      </c>
      <c r="B18" s="21">
        <v>35.0</v>
      </c>
      <c r="C18" s="20"/>
      <c r="D18" s="40" t="s">
        <v>25</v>
      </c>
      <c r="E18" s="23">
        <f t="shared" si="2"/>
        <v>18</v>
      </c>
      <c r="F18" s="21">
        <v>30.0</v>
      </c>
      <c r="G18" s="41">
        <f t="shared" si="3"/>
        <v>43.2</v>
      </c>
      <c r="H18" s="42">
        <f t="shared" si="4"/>
        <v>1296</v>
      </c>
      <c r="K18" s="19"/>
      <c r="L18" s="43"/>
      <c r="M18" s="43"/>
      <c r="N18" s="44"/>
      <c r="O18" s="27"/>
      <c r="P18" s="27"/>
      <c r="Q18" s="19"/>
    </row>
    <row r="19" ht="15.75" customHeight="1">
      <c r="A19" s="39" t="s">
        <v>24</v>
      </c>
      <c r="B19" s="21">
        <v>75.0</v>
      </c>
      <c r="C19" s="20"/>
      <c r="D19" s="40" t="s">
        <v>25</v>
      </c>
      <c r="E19" s="23">
        <f t="shared" si="2"/>
        <v>36</v>
      </c>
      <c r="F19" s="20">
        <f t="shared" ref="F19:F20" si="5">B19*0.8</f>
        <v>60</v>
      </c>
      <c r="G19" s="41">
        <f t="shared" si="3"/>
        <v>43.2</v>
      </c>
      <c r="H19" s="23">
        <f t="shared" si="4"/>
        <v>2592</v>
      </c>
      <c r="K19" s="19"/>
      <c r="L19" s="43"/>
      <c r="M19" s="43"/>
      <c r="N19" s="44"/>
      <c r="O19" s="27"/>
      <c r="P19" s="27"/>
      <c r="Q19" s="19"/>
    </row>
    <row r="20" ht="15.75" customHeight="1">
      <c r="A20" s="39" t="s">
        <v>24</v>
      </c>
      <c r="B20" s="21">
        <v>75.0</v>
      </c>
      <c r="C20" s="20"/>
      <c r="D20" s="40" t="s">
        <v>25</v>
      </c>
      <c r="E20" s="23">
        <f t="shared" si="2"/>
        <v>36</v>
      </c>
      <c r="F20" s="20">
        <f t="shared" si="5"/>
        <v>60</v>
      </c>
      <c r="G20" s="41">
        <f t="shared" si="3"/>
        <v>43.2</v>
      </c>
      <c r="H20" s="23">
        <f t="shared" si="4"/>
        <v>2592</v>
      </c>
      <c r="K20" s="19"/>
      <c r="L20" s="45"/>
      <c r="M20" s="43"/>
      <c r="N20" s="7"/>
      <c r="O20" s="27"/>
      <c r="P20" s="32"/>
      <c r="Q20" s="19"/>
    </row>
    <row r="21" ht="15.75" customHeight="1">
      <c r="A21" s="36" t="s">
        <v>15</v>
      </c>
      <c r="B21" s="36"/>
      <c r="C21" s="36"/>
      <c r="D21" s="36"/>
      <c r="E21" s="36">
        <f>sum(E17:E20)</f>
        <v>108</v>
      </c>
      <c r="F21" s="36">
        <f>SUM(F17:F20)</f>
        <v>180</v>
      </c>
      <c r="G21" s="36"/>
      <c r="H21" s="46">
        <f>sum(H17:H20)</f>
        <v>7776</v>
      </c>
      <c r="I21" s="47" t="s">
        <v>26</v>
      </c>
      <c r="J21" s="4"/>
      <c r="K21" s="32"/>
      <c r="L21" s="32"/>
      <c r="M21" s="19"/>
      <c r="N21" s="19"/>
      <c r="O21" s="19"/>
      <c r="P21" s="19"/>
      <c r="Q21" s="19"/>
    </row>
    <row r="22" ht="15.75" customHeight="1">
      <c r="H22" s="48">
        <f>I22*0.925</f>
        <v>8337.58</v>
      </c>
      <c r="I22" s="49">
        <f>H2-H4-H7</f>
        <v>9013.6</v>
      </c>
      <c r="J22" s="4"/>
      <c r="K22" s="32"/>
      <c r="L22" s="32"/>
      <c r="M22" s="19"/>
      <c r="N22" s="19"/>
      <c r="O22" s="19"/>
      <c r="P22" s="19"/>
      <c r="Q22" s="19"/>
    </row>
    <row r="23" ht="15.75" customHeight="1">
      <c r="H23" s="50">
        <f>H22-H21</f>
        <v>561.58</v>
      </c>
      <c r="J23" s="4"/>
      <c r="K23" s="4"/>
      <c r="L23" s="4"/>
    </row>
    <row r="24" ht="15.75" customHeight="1">
      <c r="A24" s="51" t="s">
        <v>27</v>
      </c>
      <c r="B24" s="51"/>
      <c r="C24" s="51"/>
      <c r="D24" s="51"/>
      <c r="E24" s="51"/>
      <c r="F24" s="52"/>
      <c r="G24" s="52"/>
      <c r="H24" s="53"/>
      <c r="J24" s="4"/>
      <c r="K24" s="4"/>
      <c r="L24" s="4"/>
    </row>
    <row r="25" ht="15.75" customHeight="1">
      <c r="A25" s="51"/>
      <c r="B25" s="51"/>
      <c r="C25" s="51"/>
      <c r="D25" s="51"/>
      <c r="E25" s="52" t="s">
        <v>9</v>
      </c>
      <c r="F25" s="52" t="s">
        <v>10</v>
      </c>
      <c r="G25" s="52" t="s">
        <v>28</v>
      </c>
      <c r="H25" s="53"/>
      <c r="J25" s="4"/>
      <c r="K25" s="4"/>
      <c r="L25" s="4"/>
    </row>
    <row r="26" ht="15.75" customHeight="1">
      <c r="A26" s="51"/>
      <c r="B26" s="51"/>
      <c r="C26" s="51"/>
      <c r="D26" s="51"/>
      <c r="E26" s="54">
        <f t="shared" ref="E26:F26" si="6">(E12+E21)*1000</f>
        <v>352233.3333</v>
      </c>
      <c r="F26" s="55">
        <f t="shared" si="6"/>
        <v>1156933.333</v>
      </c>
      <c r="G26" s="56">
        <f>(H2/F26)*1000</f>
        <v>14.69401867</v>
      </c>
      <c r="H26" s="53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57"/>
      <c r="H27" s="58"/>
      <c r="I27" s="4"/>
      <c r="J27" s="4"/>
      <c r="K27" s="4"/>
      <c r="L27" s="4"/>
    </row>
    <row r="28" ht="15.75" customHeight="1">
      <c r="A28" s="4"/>
      <c r="B28" s="59"/>
      <c r="C28" s="59"/>
      <c r="D28" s="59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60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60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60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6"/>
      <c r="B32" s="60"/>
      <c r="C32" s="4"/>
      <c r="D32" s="4"/>
      <c r="E32" s="6"/>
      <c r="F32" s="6"/>
      <c r="G32" s="6"/>
      <c r="H32" s="4"/>
      <c r="I32" s="4"/>
      <c r="J32" s="4"/>
      <c r="K32" s="4"/>
      <c r="L32" s="4"/>
    </row>
    <row r="33" ht="15.75" customHeight="1">
      <c r="A33" s="4"/>
      <c r="B33" s="60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58"/>
      <c r="C36" s="58"/>
      <c r="D36" s="58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5" t="s">
        <v>29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52000.0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16306.0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0.3135769231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61">
        <v>7800.0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11.0</v>
      </c>
      <c r="C10" s="22">
        <f>2000*0.097</f>
        <v>194</v>
      </c>
      <c r="D10" s="23"/>
      <c r="E10" s="23"/>
      <c r="F10" s="23"/>
      <c r="G10" s="23"/>
      <c r="H10" s="23">
        <f>B10*C10</f>
        <v>2134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3"/>
      <c r="C11" s="23"/>
      <c r="D11" s="20" t="s">
        <v>14</v>
      </c>
      <c r="E11" s="24">
        <f t="shared" ref="E11:E12" si="1">F11*0.25</f>
        <v>802683.3333</v>
      </c>
      <c r="F11" s="24">
        <f>sum(1000*H11)/G11*0.85</f>
        <v>3210733.333</v>
      </c>
      <c r="G11" s="25">
        <v>1.5</v>
      </c>
      <c r="H11" s="26">
        <f>H7-H10</f>
        <v>5666</v>
      </c>
      <c r="I11" s="27"/>
      <c r="K11" s="19"/>
      <c r="L11" s="19"/>
      <c r="M11" s="19"/>
      <c r="N11" s="19"/>
      <c r="O11" s="19"/>
      <c r="P11" s="19"/>
      <c r="Q11" s="19"/>
    </row>
    <row r="12" ht="15.75" customHeight="1">
      <c r="A12" s="14" t="s">
        <v>15</v>
      </c>
      <c r="B12" s="14"/>
      <c r="C12" s="14"/>
      <c r="D12" s="14"/>
      <c r="E12" s="28">
        <f t="shared" si="1"/>
        <v>802.6833333</v>
      </c>
      <c r="F12" s="29">
        <f>sum(F10:F11)/1000</f>
        <v>3210.733333</v>
      </c>
      <c r="G12" s="30"/>
      <c r="H12" s="31">
        <f>SUM(H10:H11)</f>
        <v>7800</v>
      </c>
      <c r="I12" s="32"/>
      <c r="K12" s="19"/>
      <c r="L12" s="19"/>
      <c r="M12" s="19"/>
      <c r="N12" s="19"/>
      <c r="O12" s="19"/>
      <c r="P12" s="19"/>
      <c r="Q12" s="19"/>
    </row>
    <row r="13" ht="15.75" customHeight="1">
      <c r="A13" s="18" t="s">
        <v>4</v>
      </c>
      <c r="B13" s="14"/>
      <c r="C13" s="14"/>
      <c r="D13" s="14"/>
      <c r="E13" s="33"/>
      <c r="F13" s="34"/>
      <c r="G13" s="30"/>
      <c r="H13" s="35">
        <f>H12/H2</f>
        <v>0.15</v>
      </c>
      <c r="I13" s="32"/>
      <c r="K13" s="19"/>
      <c r="L13" s="19"/>
      <c r="M13" s="19"/>
      <c r="N13" s="19"/>
      <c r="O13" s="19"/>
      <c r="P13" s="19"/>
      <c r="Q13" s="19"/>
    </row>
    <row r="14" ht="15.75" customHeight="1">
      <c r="I14" s="20"/>
      <c r="K14" s="20"/>
      <c r="L14" s="19"/>
      <c r="M14" s="19"/>
      <c r="N14" s="19"/>
      <c r="O14" s="19"/>
      <c r="P14" s="19"/>
      <c r="Q14" s="19"/>
    </row>
    <row r="15" ht="15.75" customHeight="1">
      <c r="A15" s="36" t="s">
        <v>16</v>
      </c>
      <c r="B15" s="36"/>
      <c r="C15" s="36"/>
      <c r="D15" s="36"/>
      <c r="E15" s="36"/>
      <c r="F15" s="36"/>
      <c r="G15" s="36"/>
      <c r="H15" s="36"/>
      <c r="K15" s="20"/>
      <c r="L15" s="19"/>
      <c r="M15" s="19"/>
      <c r="N15" s="19"/>
      <c r="O15" s="19"/>
      <c r="P15" s="19"/>
      <c r="Q15" s="19"/>
    </row>
    <row r="16" ht="15.75" customHeight="1">
      <c r="A16" s="38" t="s">
        <v>17</v>
      </c>
      <c r="B16" s="38" t="s">
        <v>18</v>
      </c>
      <c r="C16" s="38" t="s">
        <v>19</v>
      </c>
      <c r="D16" s="38" t="s">
        <v>20</v>
      </c>
      <c r="E16" s="38" t="s">
        <v>9</v>
      </c>
      <c r="F16" s="38" t="s">
        <v>21</v>
      </c>
      <c r="G16" s="38" t="s">
        <v>22</v>
      </c>
      <c r="H16" s="38" t="s">
        <v>23</v>
      </c>
      <c r="I16" s="37"/>
      <c r="K16" s="20"/>
      <c r="L16" s="19"/>
      <c r="M16" s="19"/>
      <c r="N16" s="19"/>
      <c r="O16" s="19"/>
      <c r="P16" s="19"/>
      <c r="Q16" s="19"/>
    </row>
    <row r="17" ht="15.75" customHeight="1">
      <c r="A17" s="39" t="s">
        <v>24</v>
      </c>
      <c r="B17" s="21">
        <v>15.0</v>
      </c>
      <c r="C17" s="20"/>
      <c r="D17" s="40" t="s">
        <v>25</v>
      </c>
      <c r="E17" s="42">
        <f t="shared" ref="E17:E27" si="2">F17*0.6</f>
        <v>6</v>
      </c>
      <c r="F17" s="21">
        <v>10.0</v>
      </c>
      <c r="G17" s="41">
        <f t="shared" ref="G17:G27" si="3">36*1.2</f>
        <v>43.2</v>
      </c>
      <c r="H17" s="42">
        <f t="shared" ref="H17:H27" si="4">F17*G17</f>
        <v>432</v>
      </c>
      <c r="K17" s="20"/>
      <c r="L17" s="32"/>
      <c r="M17" s="32"/>
      <c r="N17" s="7"/>
      <c r="O17" s="27"/>
      <c r="P17" s="32"/>
      <c r="Q17" s="19"/>
    </row>
    <row r="18" ht="15.75" customHeight="1">
      <c r="A18" s="39" t="s">
        <v>24</v>
      </c>
      <c r="B18" s="21">
        <v>15.0</v>
      </c>
      <c r="C18" s="20"/>
      <c r="D18" s="40" t="s">
        <v>25</v>
      </c>
      <c r="E18" s="42">
        <f t="shared" si="2"/>
        <v>6</v>
      </c>
      <c r="F18" s="21">
        <v>10.0</v>
      </c>
      <c r="G18" s="41">
        <f t="shared" si="3"/>
        <v>43.2</v>
      </c>
      <c r="H18" s="42">
        <f t="shared" si="4"/>
        <v>432</v>
      </c>
      <c r="J18" s="62"/>
      <c r="K18" s="20"/>
      <c r="L18" s="43"/>
      <c r="M18" s="43"/>
      <c r="N18" s="44"/>
      <c r="O18" s="27"/>
      <c r="P18" s="27"/>
      <c r="Q18" s="19"/>
    </row>
    <row r="19" ht="15.75" customHeight="1">
      <c r="A19" s="39" t="s">
        <v>24</v>
      </c>
      <c r="B19" s="21">
        <v>35.0</v>
      </c>
      <c r="C19" s="20"/>
      <c r="D19" s="40" t="s">
        <v>25</v>
      </c>
      <c r="E19" s="42">
        <f t="shared" si="2"/>
        <v>18</v>
      </c>
      <c r="F19" s="21">
        <v>30.0</v>
      </c>
      <c r="G19" s="41">
        <f t="shared" si="3"/>
        <v>43.2</v>
      </c>
      <c r="H19" s="42">
        <f t="shared" si="4"/>
        <v>1296</v>
      </c>
      <c r="K19" s="20"/>
      <c r="L19" s="43"/>
      <c r="M19" s="43"/>
      <c r="N19" s="44"/>
      <c r="O19" s="27"/>
      <c r="P19" s="27"/>
      <c r="Q19" s="19"/>
    </row>
    <row r="20" ht="15.75" customHeight="1">
      <c r="A20" s="39" t="s">
        <v>24</v>
      </c>
      <c r="B20" s="21">
        <v>35.0</v>
      </c>
      <c r="C20" s="20"/>
      <c r="D20" s="40" t="s">
        <v>25</v>
      </c>
      <c r="E20" s="42">
        <f t="shared" si="2"/>
        <v>18</v>
      </c>
      <c r="F20" s="21">
        <v>30.0</v>
      </c>
      <c r="G20" s="41">
        <f t="shared" si="3"/>
        <v>43.2</v>
      </c>
      <c r="H20" s="42">
        <f t="shared" si="4"/>
        <v>1296</v>
      </c>
      <c r="J20" s="62"/>
      <c r="K20" s="20"/>
      <c r="L20" s="45"/>
      <c r="M20" s="43"/>
      <c r="N20" s="7"/>
      <c r="O20" s="27"/>
      <c r="P20" s="32"/>
      <c r="Q20" s="19"/>
    </row>
    <row r="21" ht="15.75" customHeight="1">
      <c r="A21" s="39" t="s">
        <v>24</v>
      </c>
      <c r="B21" s="21">
        <v>35.0</v>
      </c>
      <c r="C21" s="20"/>
      <c r="D21" s="40" t="s">
        <v>25</v>
      </c>
      <c r="E21" s="42">
        <f t="shared" si="2"/>
        <v>18</v>
      </c>
      <c r="F21" s="21">
        <v>30.0</v>
      </c>
      <c r="G21" s="41">
        <f t="shared" si="3"/>
        <v>43.2</v>
      </c>
      <c r="H21" s="42">
        <f t="shared" si="4"/>
        <v>1296</v>
      </c>
      <c r="J21" s="62"/>
      <c r="K21" s="20"/>
      <c r="L21" s="45"/>
      <c r="M21" s="43"/>
      <c r="N21" s="7"/>
      <c r="O21" s="27"/>
      <c r="P21" s="32"/>
      <c r="Q21" s="19"/>
    </row>
    <row r="22" ht="15.75" customHeight="1">
      <c r="A22" s="39" t="s">
        <v>24</v>
      </c>
      <c r="B22" s="21">
        <v>75.0</v>
      </c>
      <c r="C22" s="20"/>
      <c r="D22" s="40" t="s">
        <v>25</v>
      </c>
      <c r="E22" s="42">
        <f t="shared" si="2"/>
        <v>36</v>
      </c>
      <c r="F22" s="20">
        <f t="shared" ref="F22:F27" si="5">B22*0.8</f>
        <v>60</v>
      </c>
      <c r="G22" s="41">
        <f t="shared" si="3"/>
        <v>43.2</v>
      </c>
      <c r="H22" s="42">
        <f t="shared" si="4"/>
        <v>2592</v>
      </c>
      <c r="K22" s="20"/>
      <c r="L22" s="45"/>
      <c r="M22" s="43"/>
      <c r="N22" s="7"/>
      <c r="O22" s="27"/>
      <c r="P22" s="32"/>
      <c r="Q22" s="19"/>
    </row>
    <row r="23" ht="15.75" customHeight="1">
      <c r="A23" s="39" t="s">
        <v>24</v>
      </c>
      <c r="B23" s="21">
        <v>75.0</v>
      </c>
      <c r="C23" s="20"/>
      <c r="D23" s="40" t="s">
        <v>25</v>
      </c>
      <c r="E23" s="42">
        <f t="shared" si="2"/>
        <v>36</v>
      </c>
      <c r="F23" s="20">
        <f t="shared" si="5"/>
        <v>60</v>
      </c>
      <c r="G23" s="41">
        <f t="shared" si="3"/>
        <v>43.2</v>
      </c>
      <c r="H23" s="42">
        <f t="shared" si="4"/>
        <v>2592</v>
      </c>
      <c r="K23" s="20"/>
      <c r="L23" s="45"/>
      <c r="M23" s="43"/>
      <c r="N23" s="7"/>
      <c r="O23" s="27"/>
      <c r="P23" s="32"/>
      <c r="Q23" s="19"/>
    </row>
    <row r="24" ht="15.75" customHeight="1">
      <c r="A24" s="39" t="s">
        <v>24</v>
      </c>
      <c r="B24" s="21">
        <v>75.0</v>
      </c>
      <c r="C24" s="20"/>
      <c r="D24" s="40" t="s">
        <v>25</v>
      </c>
      <c r="E24" s="42">
        <f t="shared" si="2"/>
        <v>36</v>
      </c>
      <c r="F24" s="20">
        <f t="shared" si="5"/>
        <v>60</v>
      </c>
      <c r="G24" s="41">
        <f t="shared" si="3"/>
        <v>43.2</v>
      </c>
      <c r="H24" s="42">
        <f t="shared" si="4"/>
        <v>2592</v>
      </c>
      <c r="K24" s="20"/>
      <c r="L24" s="45"/>
      <c r="M24" s="43"/>
      <c r="N24" s="7"/>
      <c r="O24" s="27"/>
      <c r="P24" s="32"/>
      <c r="Q24" s="19"/>
    </row>
    <row r="25" ht="15.75" customHeight="1">
      <c r="A25" s="39" t="s">
        <v>24</v>
      </c>
      <c r="B25" s="21">
        <v>75.0</v>
      </c>
      <c r="C25" s="20"/>
      <c r="D25" s="40" t="s">
        <v>25</v>
      </c>
      <c r="E25" s="42">
        <f t="shared" si="2"/>
        <v>36</v>
      </c>
      <c r="F25" s="20">
        <f t="shared" si="5"/>
        <v>60</v>
      </c>
      <c r="G25" s="41">
        <f t="shared" si="3"/>
        <v>43.2</v>
      </c>
      <c r="H25" s="42">
        <f t="shared" si="4"/>
        <v>2592</v>
      </c>
      <c r="K25" s="19"/>
      <c r="L25" s="45"/>
      <c r="M25" s="43"/>
      <c r="N25" s="7"/>
      <c r="O25" s="27"/>
      <c r="P25" s="32"/>
      <c r="Q25" s="19"/>
    </row>
    <row r="26" ht="15.75" customHeight="1">
      <c r="A26" s="39" t="s">
        <v>24</v>
      </c>
      <c r="B26" s="21">
        <v>125.0</v>
      </c>
      <c r="C26" s="20"/>
      <c r="D26" s="40" t="s">
        <v>25</v>
      </c>
      <c r="E26" s="42">
        <f t="shared" si="2"/>
        <v>60</v>
      </c>
      <c r="F26" s="20">
        <f t="shared" si="5"/>
        <v>100</v>
      </c>
      <c r="G26" s="41">
        <f t="shared" si="3"/>
        <v>43.2</v>
      </c>
      <c r="H26" s="42">
        <f t="shared" si="4"/>
        <v>4320</v>
      </c>
      <c r="K26" s="19"/>
      <c r="L26" s="45"/>
      <c r="M26" s="43"/>
      <c r="N26" s="7"/>
      <c r="O26" s="27"/>
      <c r="P26" s="32"/>
      <c r="Q26" s="19"/>
    </row>
    <row r="27" ht="15.75" customHeight="1">
      <c r="A27" s="39" t="s">
        <v>24</v>
      </c>
      <c r="B27" s="21">
        <v>175.0</v>
      </c>
      <c r="C27" s="20"/>
      <c r="D27" s="40" t="s">
        <v>25</v>
      </c>
      <c r="E27" s="42">
        <f t="shared" si="2"/>
        <v>84</v>
      </c>
      <c r="F27" s="20">
        <f t="shared" si="5"/>
        <v>140</v>
      </c>
      <c r="G27" s="41">
        <f t="shared" si="3"/>
        <v>43.2</v>
      </c>
      <c r="H27" s="42">
        <f t="shared" si="4"/>
        <v>6048</v>
      </c>
      <c r="K27" s="19"/>
      <c r="L27" s="45"/>
      <c r="M27" s="43"/>
      <c r="N27" s="7"/>
      <c r="O27" s="27"/>
      <c r="P27" s="32"/>
      <c r="Q27" s="19"/>
    </row>
    <row r="28" ht="15.75" customHeight="1">
      <c r="A28" s="36" t="s">
        <v>15</v>
      </c>
      <c r="B28" s="36"/>
      <c r="C28" s="36"/>
      <c r="D28" s="36"/>
      <c r="E28" s="46">
        <f>sum(E17:E20)</f>
        <v>48</v>
      </c>
      <c r="F28" s="36">
        <f>SUM(F17:F27)</f>
        <v>590</v>
      </c>
      <c r="G28" s="36"/>
      <c r="H28" s="46">
        <f>sum(H17:H27)</f>
        <v>25488</v>
      </c>
      <c r="I28" s="47" t="s">
        <v>26</v>
      </c>
      <c r="J28" s="4"/>
      <c r="K28" s="32"/>
      <c r="L28" s="32"/>
      <c r="M28" s="19"/>
      <c r="N28" s="19"/>
      <c r="O28" s="19"/>
      <c r="P28" s="19"/>
      <c r="Q28" s="19"/>
    </row>
    <row r="29" ht="15.75" customHeight="1">
      <c r="A29" s="63">
        <f>COUNTA(A17:A27)</f>
        <v>11</v>
      </c>
      <c r="H29" s="48">
        <f>I29*0.925</f>
        <v>25801.95</v>
      </c>
      <c r="I29" s="49">
        <f>H2-H4-H7</f>
        <v>27894</v>
      </c>
      <c r="J29" s="4"/>
      <c r="K29" s="32"/>
      <c r="L29" s="32"/>
      <c r="M29" s="19"/>
      <c r="N29" s="19"/>
      <c r="O29" s="19"/>
      <c r="P29" s="19"/>
      <c r="Q29" s="19"/>
    </row>
    <row r="30" ht="15.75" customHeight="1">
      <c r="H30" s="50">
        <f>H29-H28</f>
        <v>313.95</v>
      </c>
      <c r="J30" s="4"/>
      <c r="K30" s="4"/>
      <c r="L30" s="4"/>
    </row>
    <row r="31" ht="15.75" customHeight="1">
      <c r="A31" s="51" t="s">
        <v>27</v>
      </c>
      <c r="B31" s="51"/>
      <c r="C31" s="51"/>
      <c r="D31" s="51"/>
      <c r="E31" s="51"/>
      <c r="F31" s="52"/>
      <c r="G31" s="52"/>
      <c r="H31" s="53"/>
      <c r="J31" s="4"/>
      <c r="K31" s="4"/>
      <c r="L31" s="4"/>
    </row>
    <row r="32" ht="15.75" customHeight="1">
      <c r="A32" s="51"/>
      <c r="B32" s="51"/>
      <c r="C32" s="51"/>
      <c r="D32" s="51"/>
      <c r="E32" s="52" t="s">
        <v>9</v>
      </c>
      <c r="F32" s="52" t="s">
        <v>10</v>
      </c>
      <c r="G32" s="52" t="s">
        <v>28</v>
      </c>
      <c r="H32" s="53"/>
      <c r="J32" s="4"/>
      <c r="K32" s="4"/>
      <c r="L32" s="4"/>
    </row>
    <row r="33" ht="15.75" customHeight="1">
      <c r="A33" s="51"/>
      <c r="B33" s="51"/>
      <c r="C33" s="51"/>
      <c r="D33" s="51"/>
      <c r="E33" s="54">
        <f t="shared" ref="E33:F33" si="6">(E12+E28)*1000</f>
        <v>850683.3333</v>
      </c>
      <c r="F33" s="55">
        <f t="shared" si="6"/>
        <v>3800733.333</v>
      </c>
      <c r="G33" s="56">
        <f>(H2/F33)*1000</f>
        <v>13.68157022</v>
      </c>
      <c r="H33" s="53"/>
      <c r="J33" s="4"/>
      <c r="K33" s="4"/>
      <c r="L33" s="4"/>
    </row>
    <row r="34" ht="15.75" customHeight="1">
      <c r="A34" s="4"/>
      <c r="B34" s="60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58"/>
      <c r="C37" s="58"/>
      <c r="D37" s="58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17000.0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5486.4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0.3227294118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5">
        <v>2500.0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0.1470588235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4.0</v>
      </c>
      <c r="C10" s="22">
        <f>2000*0.097</f>
        <v>194</v>
      </c>
      <c r="D10" s="23"/>
      <c r="E10" s="23"/>
      <c r="F10" s="23"/>
      <c r="G10" s="23"/>
      <c r="H10" s="23">
        <f>B10*C10</f>
        <v>776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3"/>
      <c r="C11" s="23"/>
      <c r="D11" s="20" t="s">
        <v>14</v>
      </c>
      <c r="E11" s="24">
        <f t="shared" ref="E11:E12" si="1">F11*0.25</f>
        <v>244233.3333</v>
      </c>
      <c r="F11" s="24">
        <f>sum(1000*H11)/G11*0.85</f>
        <v>976933.3333</v>
      </c>
      <c r="G11" s="25">
        <v>1.5</v>
      </c>
      <c r="H11" s="26">
        <v>1724.0</v>
      </c>
      <c r="I11" s="27"/>
      <c r="K11" s="19"/>
      <c r="L11" s="19"/>
      <c r="M11" s="19"/>
      <c r="N11" s="19"/>
      <c r="O11" s="19"/>
      <c r="P11" s="19"/>
      <c r="Q11" s="19"/>
    </row>
    <row r="12" ht="15.75" customHeight="1">
      <c r="A12" s="14" t="s">
        <v>15</v>
      </c>
      <c r="B12" s="14"/>
      <c r="C12" s="14"/>
      <c r="D12" s="14"/>
      <c r="E12" s="28">
        <f t="shared" si="1"/>
        <v>244.2333333</v>
      </c>
      <c r="F12" s="29">
        <f>sum(F10:F11)/1000</f>
        <v>976.9333333</v>
      </c>
      <c r="G12" s="30"/>
      <c r="H12" s="31">
        <f>sum(H10:H11)</f>
        <v>2500</v>
      </c>
      <c r="I12" s="32"/>
      <c r="K12" s="19"/>
      <c r="L12" s="19"/>
      <c r="M12" s="19"/>
      <c r="N12" s="19"/>
      <c r="O12" s="19"/>
      <c r="P12" s="19"/>
      <c r="Q12" s="19"/>
    </row>
    <row r="13" ht="15.75" customHeight="1">
      <c r="A13" s="18" t="s">
        <v>4</v>
      </c>
      <c r="B13" s="14"/>
      <c r="C13" s="14"/>
      <c r="D13" s="14"/>
      <c r="E13" s="33"/>
      <c r="F13" s="34"/>
      <c r="G13" s="30"/>
      <c r="H13" s="35">
        <f>H12/H2</f>
        <v>0.1470588235</v>
      </c>
      <c r="I13" s="32"/>
      <c r="K13" s="19"/>
      <c r="L13" s="19"/>
      <c r="M13" s="19"/>
      <c r="N13" s="19"/>
      <c r="O13" s="19"/>
      <c r="P13" s="19"/>
      <c r="Q13" s="19"/>
    </row>
    <row r="14" ht="15.75" customHeight="1">
      <c r="I14" s="19"/>
      <c r="K14" s="19"/>
      <c r="L14" s="19"/>
      <c r="M14" s="19"/>
      <c r="N14" s="19"/>
      <c r="O14" s="19"/>
      <c r="P14" s="19"/>
      <c r="Q14" s="19"/>
    </row>
    <row r="15" ht="15.75" customHeight="1">
      <c r="A15" s="36" t="s">
        <v>16</v>
      </c>
      <c r="B15" s="36"/>
      <c r="C15" s="36"/>
      <c r="D15" s="36"/>
      <c r="E15" s="36"/>
      <c r="F15" s="36"/>
      <c r="G15" s="36"/>
      <c r="H15" s="36"/>
      <c r="I15" s="37"/>
      <c r="K15" s="19"/>
      <c r="L15" s="19"/>
      <c r="M15" s="19"/>
      <c r="N15" s="19"/>
      <c r="O15" s="19"/>
      <c r="P15" s="19"/>
      <c r="Q15" s="19"/>
    </row>
    <row r="16" ht="15.75" customHeight="1">
      <c r="A16" s="38" t="s">
        <v>17</v>
      </c>
      <c r="B16" s="38" t="s">
        <v>18</v>
      </c>
      <c r="C16" s="38" t="s">
        <v>19</v>
      </c>
      <c r="D16" s="38" t="s">
        <v>20</v>
      </c>
      <c r="E16" s="38" t="s">
        <v>9</v>
      </c>
      <c r="F16" s="38" t="s">
        <v>21</v>
      </c>
      <c r="G16" s="38" t="s">
        <v>22</v>
      </c>
      <c r="H16" s="38" t="s">
        <v>23</v>
      </c>
      <c r="I16" s="37"/>
      <c r="K16" s="19"/>
      <c r="L16" s="19"/>
      <c r="M16" s="19"/>
      <c r="N16" s="19"/>
      <c r="O16" s="19"/>
      <c r="P16" s="19"/>
      <c r="Q16" s="19"/>
    </row>
    <row r="17" ht="15.75" customHeight="1">
      <c r="A17" s="39" t="s">
        <v>24</v>
      </c>
      <c r="B17" s="21">
        <v>35.0</v>
      </c>
      <c r="C17" s="20"/>
      <c r="D17" s="40" t="s">
        <v>25</v>
      </c>
      <c r="E17" s="23">
        <f t="shared" ref="E17:E20" si="2">F17*0.6</f>
        <v>18</v>
      </c>
      <c r="F17" s="21">
        <v>30.0</v>
      </c>
      <c r="G17" s="41">
        <f t="shared" ref="G17:G20" si="3">34*1.2</f>
        <v>40.8</v>
      </c>
      <c r="H17" s="23">
        <f t="shared" ref="H17:H20" si="4">F17*G17</f>
        <v>1224</v>
      </c>
      <c r="K17" s="19"/>
      <c r="L17" s="32"/>
      <c r="M17" s="32"/>
      <c r="N17" s="7"/>
      <c r="O17" s="27"/>
      <c r="P17" s="32"/>
      <c r="Q17" s="19"/>
    </row>
    <row r="18" ht="15.75" customHeight="1">
      <c r="A18" s="39" t="s">
        <v>24</v>
      </c>
      <c r="B18" s="21">
        <v>75.0</v>
      </c>
      <c r="C18" s="20"/>
      <c r="D18" s="40" t="s">
        <v>25</v>
      </c>
      <c r="E18" s="23">
        <f t="shared" si="2"/>
        <v>36</v>
      </c>
      <c r="F18" s="20">
        <f t="shared" ref="F18:F20" si="5">B18*0.8</f>
        <v>60</v>
      </c>
      <c r="G18" s="41">
        <f t="shared" si="3"/>
        <v>40.8</v>
      </c>
      <c r="H18" s="42">
        <f t="shared" si="4"/>
        <v>2448</v>
      </c>
      <c r="K18" s="19"/>
      <c r="L18" s="43"/>
      <c r="M18" s="43"/>
      <c r="N18" s="44"/>
      <c r="O18" s="27"/>
      <c r="P18" s="27"/>
      <c r="Q18" s="19"/>
    </row>
    <row r="19" ht="15.75" customHeight="1">
      <c r="A19" s="39" t="s">
        <v>24</v>
      </c>
      <c r="B19" s="21">
        <v>75.0</v>
      </c>
      <c r="C19" s="20"/>
      <c r="D19" s="40" t="s">
        <v>25</v>
      </c>
      <c r="E19" s="23">
        <f t="shared" si="2"/>
        <v>36</v>
      </c>
      <c r="F19" s="20">
        <f t="shared" si="5"/>
        <v>60</v>
      </c>
      <c r="G19" s="41">
        <f t="shared" si="3"/>
        <v>40.8</v>
      </c>
      <c r="H19" s="23">
        <f t="shared" si="4"/>
        <v>2448</v>
      </c>
      <c r="K19" s="19"/>
      <c r="L19" s="43"/>
      <c r="M19" s="43"/>
      <c r="N19" s="44"/>
      <c r="O19" s="27"/>
      <c r="P19" s="27"/>
      <c r="Q19" s="19"/>
    </row>
    <row r="20" ht="15.75" customHeight="1">
      <c r="A20" s="39" t="s">
        <v>24</v>
      </c>
      <c r="B20" s="21">
        <v>75.0</v>
      </c>
      <c r="C20" s="20"/>
      <c r="D20" s="40" t="s">
        <v>25</v>
      </c>
      <c r="E20" s="23">
        <f t="shared" si="2"/>
        <v>36</v>
      </c>
      <c r="F20" s="20">
        <f t="shared" si="5"/>
        <v>60</v>
      </c>
      <c r="G20" s="41">
        <f t="shared" si="3"/>
        <v>40.8</v>
      </c>
      <c r="H20" s="23">
        <f t="shared" si="4"/>
        <v>2448</v>
      </c>
      <c r="K20" s="19"/>
      <c r="L20" s="45"/>
      <c r="M20" s="43"/>
      <c r="N20" s="7"/>
      <c r="O20" s="27"/>
      <c r="P20" s="32"/>
      <c r="Q20" s="19"/>
    </row>
    <row r="21" ht="15.75" customHeight="1">
      <c r="A21" s="36" t="s">
        <v>15</v>
      </c>
      <c r="B21" s="36"/>
      <c r="C21" s="36"/>
      <c r="D21" s="36"/>
      <c r="E21" s="36">
        <f>sum(E17:E20)</f>
        <v>126</v>
      </c>
      <c r="F21" s="36">
        <f>SUM(F17:F20)</f>
        <v>210</v>
      </c>
      <c r="G21" s="36"/>
      <c r="H21" s="46">
        <f>sum(H17:H20)</f>
        <v>8568</v>
      </c>
      <c r="I21" s="47" t="s">
        <v>26</v>
      </c>
      <c r="J21" s="4"/>
      <c r="K21" s="32"/>
      <c r="L21" s="32"/>
      <c r="M21" s="19"/>
      <c r="N21" s="19"/>
      <c r="O21" s="19"/>
      <c r="P21" s="19"/>
      <c r="Q21" s="19"/>
    </row>
    <row r="22" ht="15.75" customHeight="1">
      <c r="H22" s="48">
        <f>I22*0.925</f>
        <v>8337.58</v>
      </c>
      <c r="I22" s="49">
        <f>H2-H4-H7</f>
        <v>9013.6</v>
      </c>
      <c r="J22" s="4"/>
      <c r="K22" s="32"/>
      <c r="L22" s="32"/>
      <c r="M22" s="19"/>
      <c r="N22" s="19"/>
      <c r="O22" s="19"/>
      <c r="P22" s="19"/>
      <c r="Q22" s="19"/>
    </row>
    <row r="23" ht="15.75" customHeight="1">
      <c r="H23" s="50">
        <f>H22-H21</f>
        <v>-230.42</v>
      </c>
      <c r="J23" s="4"/>
      <c r="K23" s="4"/>
      <c r="L23" s="4"/>
    </row>
    <row r="24" ht="15.75" customHeight="1">
      <c r="A24" s="51" t="s">
        <v>27</v>
      </c>
      <c r="B24" s="51"/>
      <c r="C24" s="51"/>
      <c r="D24" s="51"/>
      <c r="E24" s="51"/>
      <c r="F24" s="52"/>
      <c r="G24" s="52"/>
      <c r="H24" s="53"/>
      <c r="J24" s="4"/>
      <c r="K24" s="4"/>
      <c r="L24" s="4"/>
    </row>
    <row r="25" ht="15.75" customHeight="1">
      <c r="A25" s="51"/>
      <c r="B25" s="51"/>
      <c r="C25" s="51"/>
      <c r="D25" s="51"/>
      <c r="E25" s="52" t="s">
        <v>9</v>
      </c>
      <c r="F25" s="52" t="s">
        <v>10</v>
      </c>
      <c r="G25" s="52" t="s">
        <v>28</v>
      </c>
      <c r="H25" s="53"/>
      <c r="J25" s="4"/>
      <c r="K25" s="4"/>
      <c r="L25" s="4"/>
    </row>
    <row r="26" ht="15.75" customHeight="1">
      <c r="A26" s="51"/>
      <c r="B26" s="51"/>
      <c r="C26" s="51"/>
      <c r="D26" s="51"/>
      <c r="E26" s="54">
        <f t="shared" ref="E26:F26" si="6">(E12+E21)*1000</f>
        <v>370233.3333</v>
      </c>
      <c r="F26" s="55">
        <f t="shared" si="6"/>
        <v>1186933.333</v>
      </c>
      <c r="G26" s="56">
        <f>(H2/F26)*1000</f>
        <v>14.32262413</v>
      </c>
      <c r="H26" s="53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57"/>
      <c r="H27" s="58"/>
      <c r="I27" s="4"/>
      <c r="J27" s="4"/>
      <c r="K27" s="4"/>
      <c r="L27" s="4"/>
    </row>
    <row r="28" ht="15.75" customHeight="1">
      <c r="A28" s="4"/>
      <c r="B28" s="59"/>
      <c r="C28" s="59"/>
      <c r="D28" s="59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60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60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60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6"/>
      <c r="B32" s="60"/>
      <c r="C32" s="4"/>
      <c r="D32" s="4"/>
      <c r="E32" s="6"/>
      <c r="F32" s="6"/>
      <c r="G32" s="6"/>
      <c r="H32" s="4"/>
      <c r="I32" s="4"/>
      <c r="J32" s="4"/>
      <c r="K32" s="4"/>
      <c r="L32" s="4"/>
    </row>
    <row r="33" ht="15.75" customHeight="1">
      <c r="A33" s="4"/>
      <c r="B33" s="60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58"/>
      <c r="C36" s="58"/>
      <c r="D36" s="58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52000.0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16306.0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0.3135769231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61">
        <v>7800.0</v>
      </c>
    </row>
    <row r="8" ht="15.75" customHeight="1">
      <c r="A8" s="16" t="s">
        <v>4</v>
      </c>
      <c r="B8" s="14"/>
      <c r="C8" s="14"/>
      <c r="D8" s="14"/>
      <c r="E8" s="14"/>
      <c r="F8" s="14"/>
      <c r="G8" s="14"/>
      <c r="H8" s="17">
        <f>H7/H2</f>
        <v>0.15</v>
      </c>
    </row>
    <row r="9" ht="15.75" customHeight="1">
      <c r="A9" s="14"/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11</v>
      </c>
      <c r="H9" s="14"/>
      <c r="K9" s="19"/>
      <c r="L9" s="19"/>
      <c r="M9" s="19"/>
      <c r="N9" s="19"/>
      <c r="O9" s="19"/>
      <c r="P9" s="19"/>
      <c r="Q9" s="19"/>
    </row>
    <row r="10" ht="15.75" customHeight="1">
      <c r="A10" s="20" t="s">
        <v>12</v>
      </c>
      <c r="B10" s="21">
        <v>11.0</v>
      </c>
      <c r="C10" s="22">
        <f>2000*0.097</f>
        <v>194</v>
      </c>
      <c r="D10" s="23"/>
      <c r="E10" s="23"/>
      <c r="F10" s="23"/>
      <c r="G10" s="23"/>
      <c r="H10" s="23">
        <f>B10*C10</f>
        <v>2134</v>
      </c>
      <c r="K10" s="19"/>
      <c r="L10" s="19"/>
      <c r="M10" s="19"/>
      <c r="N10" s="19"/>
      <c r="O10" s="19"/>
      <c r="P10" s="19"/>
      <c r="Q10" s="19"/>
    </row>
    <row r="11" ht="15.75" customHeight="1">
      <c r="A11" s="20" t="s">
        <v>13</v>
      </c>
      <c r="B11" s="23"/>
      <c r="C11" s="23"/>
      <c r="D11" s="20" t="s">
        <v>14</v>
      </c>
      <c r="E11" s="24">
        <f t="shared" ref="E11:E12" si="1">F11*0.25</f>
        <v>802683.3333</v>
      </c>
      <c r="F11" s="24">
        <f>sum(1000*H11)/G11*0.85</f>
        <v>3210733.333</v>
      </c>
      <c r="G11" s="25">
        <v>1.5</v>
      </c>
      <c r="H11" s="26">
        <f>H7-H10</f>
        <v>5666</v>
      </c>
      <c r="I11" s="27"/>
      <c r="K11" s="19"/>
      <c r="L11" s="19"/>
      <c r="M11" s="19"/>
      <c r="N11" s="19"/>
      <c r="O11" s="19"/>
      <c r="P11" s="19"/>
      <c r="Q11" s="19"/>
    </row>
    <row r="12" ht="15.75" customHeight="1">
      <c r="A12" s="14" t="s">
        <v>15</v>
      </c>
      <c r="B12" s="14"/>
      <c r="C12" s="14"/>
      <c r="D12" s="14"/>
      <c r="E12" s="28">
        <f t="shared" si="1"/>
        <v>802.6833333</v>
      </c>
      <c r="F12" s="29">
        <f>sum(F10:F11)/1000</f>
        <v>3210.733333</v>
      </c>
      <c r="G12" s="30"/>
      <c r="H12" s="31">
        <f>SUM(H10:H11)</f>
        <v>7800</v>
      </c>
      <c r="I12" s="32"/>
      <c r="K12" s="19"/>
      <c r="L12" s="19"/>
      <c r="M12" s="19"/>
      <c r="N12" s="19"/>
      <c r="O12" s="19"/>
      <c r="P12" s="19"/>
      <c r="Q12" s="19"/>
    </row>
    <row r="13" ht="15.75" customHeight="1">
      <c r="A13" s="18" t="s">
        <v>4</v>
      </c>
      <c r="B13" s="14"/>
      <c r="C13" s="14"/>
      <c r="D13" s="14"/>
      <c r="E13" s="33"/>
      <c r="F13" s="34"/>
      <c r="G13" s="30"/>
      <c r="H13" s="35">
        <f>H12/H2</f>
        <v>0.15</v>
      </c>
      <c r="I13" s="32"/>
      <c r="K13" s="19"/>
      <c r="L13" s="19"/>
      <c r="M13" s="19"/>
      <c r="N13" s="19"/>
      <c r="O13" s="19"/>
      <c r="P13" s="19"/>
      <c r="Q13" s="19"/>
    </row>
    <row r="14" ht="15.75" customHeight="1">
      <c r="I14" s="20"/>
      <c r="K14" s="20"/>
      <c r="L14" s="19"/>
      <c r="M14" s="19"/>
      <c r="N14" s="19"/>
      <c r="O14" s="19"/>
      <c r="P14" s="19"/>
      <c r="Q14" s="19"/>
    </row>
    <row r="15" ht="15.75" customHeight="1">
      <c r="A15" s="36" t="s">
        <v>16</v>
      </c>
      <c r="B15" s="36"/>
      <c r="C15" s="36"/>
      <c r="D15" s="36"/>
      <c r="E15" s="36"/>
      <c r="F15" s="36"/>
      <c r="G15" s="36"/>
      <c r="H15" s="36"/>
      <c r="K15" s="20"/>
      <c r="L15" s="19"/>
      <c r="M15" s="19"/>
      <c r="N15" s="19"/>
      <c r="O15" s="19"/>
      <c r="P15" s="19"/>
      <c r="Q15" s="19"/>
    </row>
    <row r="16" ht="15.75" customHeight="1">
      <c r="A16" s="38" t="s">
        <v>17</v>
      </c>
      <c r="B16" s="38" t="s">
        <v>18</v>
      </c>
      <c r="C16" s="38" t="s">
        <v>19</v>
      </c>
      <c r="D16" s="38" t="s">
        <v>20</v>
      </c>
      <c r="E16" s="38" t="s">
        <v>9</v>
      </c>
      <c r="F16" s="38" t="s">
        <v>21</v>
      </c>
      <c r="G16" s="38" t="s">
        <v>22</v>
      </c>
      <c r="H16" s="38" t="s">
        <v>23</v>
      </c>
      <c r="I16" s="37"/>
      <c r="K16" s="20"/>
      <c r="L16" s="19"/>
      <c r="M16" s="19"/>
      <c r="N16" s="19"/>
      <c r="O16" s="19"/>
      <c r="P16" s="19"/>
      <c r="Q16" s="19"/>
    </row>
    <row r="17" ht="15.75" customHeight="1">
      <c r="A17" s="39" t="s">
        <v>24</v>
      </c>
      <c r="B17" s="21">
        <v>15.0</v>
      </c>
      <c r="C17" s="20"/>
      <c r="D17" s="40" t="s">
        <v>25</v>
      </c>
      <c r="E17" s="42">
        <f t="shared" ref="E17:E27" si="2">F17*0.6</f>
        <v>6</v>
      </c>
      <c r="F17" s="21">
        <v>10.0</v>
      </c>
      <c r="G17" s="41">
        <f t="shared" ref="G17:G27" si="3">34*1.2</f>
        <v>40.8</v>
      </c>
      <c r="H17" s="42">
        <f t="shared" ref="H17:H27" si="4">F17*G17</f>
        <v>408</v>
      </c>
      <c r="K17" s="20"/>
      <c r="L17" s="32"/>
      <c r="M17" s="32"/>
      <c r="N17" s="7"/>
      <c r="O17" s="27"/>
      <c r="P17" s="32"/>
      <c r="Q17" s="19"/>
    </row>
    <row r="18" ht="15.75" customHeight="1">
      <c r="A18" s="39" t="s">
        <v>24</v>
      </c>
      <c r="B18" s="21">
        <v>15.0</v>
      </c>
      <c r="C18" s="20"/>
      <c r="D18" s="40" t="s">
        <v>25</v>
      </c>
      <c r="E18" s="42">
        <f t="shared" si="2"/>
        <v>6</v>
      </c>
      <c r="F18" s="21">
        <v>10.0</v>
      </c>
      <c r="G18" s="41">
        <f t="shared" si="3"/>
        <v>40.8</v>
      </c>
      <c r="H18" s="42">
        <f t="shared" si="4"/>
        <v>408</v>
      </c>
      <c r="J18" s="62"/>
      <c r="K18" s="20"/>
      <c r="L18" s="43"/>
      <c r="M18" s="43"/>
      <c r="N18" s="44"/>
      <c r="O18" s="27"/>
      <c r="P18" s="27"/>
      <c r="Q18" s="19"/>
    </row>
    <row r="19" ht="15.75" customHeight="1">
      <c r="A19" s="39" t="s">
        <v>24</v>
      </c>
      <c r="B19" s="21">
        <v>35.0</v>
      </c>
      <c r="C19" s="20"/>
      <c r="D19" s="40" t="s">
        <v>25</v>
      </c>
      <c r="E19" s="42">
        <f t="shared" si="2"/>
        <v>18</v>
      </c>
      <c r="F19" s="21">
        <v>30.0</v>
      </c>
      <c r="G19" s="41">
        <f t="shared" si="3"/>
        <v>40.8</v>
      </c>
      <c r="H19" s="42">
        <f t="shared" si="4"/>
        <v>1224</v>
      </c>
      <c r="K19" s="20"/>
      <c r="L19" s="43"/>
      <c r="M19" s="43"/>
      <c r="N19" s="44"/>
      <c r="O19" s="27"/>
      <c r="P19" s="27"/>
      <c r="Q19" s="19"/>
    </row>
    <row r="20" ht="15.75" customHeight="1">
      <c r="A20" s="39" t="s">
        <v>24</v>
      </c>
      <c r="B20" s="21">
        <v>35.0</v>
      </c>
      <c r="C20" s="20"/>
      <c r="D20" s="40" t="s">
        <v>25</v>
      </c>
      <c r="E20" s="42">
        <f t="shared" si="2"/>
        <v>18</v>
      </c>
      <c r="F20" s="21">
        <v>30.0</v>
      </c>
      <c r="G20" s="41">
        <f t="shared" si="3"/>
        <v>40.8</v>
      </c>
      <c r="H20" s="42">
        <f t="shared" si="4"/>
        <v>1224</v>
      </c>
      <c r="J20" s="62"/>
      <c r="K20" s="20"/>
      <c r="L20" s="45"/>
      <c r="M20" s="43"/>
      <c r="N20" s="7"/>
      <c r="O20" s="27"/>
      <c r="P20" s="32"/>
      <c r="Q20" s="19"/>
    </row>
    <row r="21" ht="15.75" customHeight="1">
      <c r="A21" s="39" t="s">
        <v>24</v>
      </c>
      <c r="B21" s="21">
        <v>35.0</v>
      </c>
      <c r="C21" s="20"/>
      <c r="D21" s="40" t="s">
        <v>25</v>
      </c>
      <c r="E21" s="42">
        <f t="shared" si="2"/>
        <v>18</v>
      </c>
      <c r="F21" s="21">
        <v>30.0</v>
      </c>
      <c r="G21" s="41">
        <f t="shared" si="3"/>
        <v>40.8</v>
      </c>
      <c r="H21" s="42">
        <f t="shared" si="4"/>
        <v>1224</v>
      </c>
      <c r="K21" s="20"/>
      <c r="L21" s="45"/>
      <c r="M21" s="43"/>
      <c r="N21" s="7"/>
      <c r="O21" s="27"/>
      <c r="P21" s="32"/>
      <c r="Q21" s="19"/>
    </row>
    <row r="22" ht="15.75" customHeight="1">
      <c r="A22" s="64" t="s">
        <v>24</v>
      </c>
      <c r="B22" s="65">
        <v>75.0</v>
      </c>
      <c r="C22" s="4"/>
      <c r="D22" s="66" t="s">
        <v>25</v>
      </c>
      <c r="E22" s="24">
        <f t="shared" si="2"/>
        <v>36</v>
      </c>
      <c r="F22" s="58">
        <f t="shared" ref="F22:F27" si="5">B22*0.8</f>
        <v>60</v>
      </c>
      <c r="G22" s="67">
        <f t="shared" si="3"/>
        <v>40.8</v>
      </c>
      <c r="H22" s="24">
        <f t="shared" si="4"/>
        <v>2448</v>
      </c>
      <c r="I22" s="68"/>
      <c r="J22" s="69"/>
      <c r="K22" s="4"/>
      <c r="L22" s="45"/>
      <c r="M22" s="45"/>
      <c r="N22" s="7"/>
      <c r="O22" s="32"/>
      <c r="P22" s="32"/>
      <c r="Q22" s="32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</row>
    <row r="23" ht="15.75" customHeight="1">
      <c r="A23" s="39" t="s">
        <v>24</v>
      </c>
      <c r="B23" s="21">
        <v>75.0</v>
      </c>
      <c r="C23" s="20"/>
      <c r="D23" s="40" t="s">
        <v>25</v>
      </c>
      <c r="E23" s="42">
        <f t="shared" si="2"/>
        <v>36</v>
      </c>
      <c r="F23" s="20">
        <f t="shared" si="5"/>
        <v>60</v>
      </c>
      <c r="G23" s="41">
        <f t="shared" si="3"/>
        <v>40.8</v>
      </c>
      <c r="H23" s="42">
        <f t="shared" si="4"/>
        <v>2448</v>
      </c>
      <c r="K23" s="20"/>
      <c r="L23" s="45"/>
      <c r="M23" s="43"/>
      <c r="N23" s="7"/>
      <c r="O23" s="27"/>
      <c r="P23" s="32"/>
      <c r="Q23" s="19"/>
    </row>
    <row r="24" ht="15.75" customHeight="1">
      <c r="A24" s="39" t="s">
        <v>24</v>
      </c>
      <c r="B24" s="21">
        <v>75.0</v>
      </c>
      <c r="C24" s="20"/>
      <c r="D24" s="40" t="s">
        <v>25</v>
      </c>
      <c r="E24" s="42">
        <f t="shared" si="2"/>
        <v>36</v>
      </c>
      <c r="F24" s="20">
        <f t="shared" si="5"/>
        <v>60</v>
      </c>
      <c r="G24" s="41">
        <f t="shared" si="3"/>
        <v>40.8</v>
      </c>
      <c r="H24" s="42">
        <f t="shared" si="4"/>
        <v>2448</v>
      </c>
      <c r="K24" s="20"/>
      <c r="L24" s="45"/>
      <c r="M24" s="43"/>
      <c r="N24" s="7"/>
      <c r="O24" s="27"/>
      <c r="P24" s="32"/>
      <c r="Q24" s="19"/>
    </row>
    <row r="25" ht="15.75" customHeight="1">
      <c r="A25" s="39" t="s">
        <v>24</v>
      </c>
      <c r="B25" s="21">
        <v>125.0</v>
      </c>
      <c r="C25" s="20"/>
      <c r="D25" s="40" t="s">
        <v>25</v>
      </c>
      <c r="E25" s="42">
        <f t="shared" si="2"/>
        <v>60</v>
      </c>
      <c r="F25" s="20">
        <f t="shared" si="5"/>
        <v>100</v>
      </c>
      <c r="G25" s="41">
        <f t="shared" si="3"/>
        <v>40.8</v>
      </c>
      <c r="H25" s="42">
        <f t="shared" si="4"/>
        <v>4080</v>
      </c>
      <c r="K25" s="19"/>
      <c r="L25" s="45"/>
      <c r="M25" s="43"/>
      <c r="N25" s="7"/>
      <c r="O25" s="27"/>
      <c r="P25" s="32"/>
      <c r="Q25" s="19"/>
    </row>
    <row r="26" ht="15.75" customHeight="1">
      <c r="A26" s="39" t="s">
        <v>24</v>
      </c>
      <c r="B26" s="21">
        <v>125.0</v>
      </c>
      <c r="C26" s="20"/>
      <c r="D26" s="40" t="s">
        <v>25</v>
      </c>
      <c r="E26" s="42">
        <f t="shared" si="2"/>
        <v>60</v>
      </c>
      <c r="F26" s="20">
        <f t="shared" si="5"/>
        <v>100</v>
      </c>
      <c r="G26" s="41">
        <f t="shared" si="3"/>
        <v>40.8</v>
      </c>
      <c r="H26" s="42">
        <f t="shared" si="4"/>
        <v>4080</v>
      </c>
      <c r="K26" s="19"/>
      <c r="L26" s="45"/>
      <c r="M26" s="43"/>
      <c r="N26" s="7"/>
      <c r="O26" s="27"/>
      <c r="P26" s="32"/>
      <c r="Q26" s="19"/>
    </row>
    <row r="27" ht="15.75" customHeight="1">
      <c r="A27" s="39" t="s">
        <v>24</v>
      </c>
      <c r="B27" s="21">
        <v>175.0</v>
      </c>
      <c r="C27" s="20"/>
      <c r="D27" s="40" t="s">
        <v>25</v>
      </c>
      <c r="E27" s="42">
        <f t="shared" si="2"/>
        <v>84</v>
      </c>
      <c r="F27" s="20">
        <f t="shared" si="5"/>
        <v>140</v>
      </c>
      <c r="G27" s="41">
        <f t="shared" si="3"/>
        <v>40.8</v>
      </c>
      <c r="H27" s="42">
        <f t="shared" si="4"/>
        <v>5712</v>
      </c>
      <c r="K27" s="19"/>
      <c r="L27" s="45"/>
      <c r="M27" s="43"/>
      <c r="N27" s="7"/>
      <c r="O27" s="27"/>
      <c r="P27" s="32"/>
      <c r="Q27" s="19"/>
    </row>
    <row r="28" ht="15.75" customHeight="1">
      <c r="A28" s="36" t="s">
        <v>15</v>
      </c>
      <c r="B28" s="36"/>
      <c r="C28" s="36"/>
      <c r="D28" s="36"/>
      <c r="E28" s="46">
        <f>sum(E17:E20)</f>
        <v>48</v>
      </c>
      <c r="F28" s="36">
        <f>SUM(F17:F27)</f>
        <v>630</v>
      </c>
      <c r="G28" s="36"/>
      <c r="H28" s="46">
        <f>sum(H17:H27)</f>
        <v>25704</v>
      </c>
      <c r="I28" s="47" t="s">
        <v>26</v>
      </c>
      <c r="J28" s="4"/>
      <c r="K28" s="32"/>
      <c r="L28" s="32"/>
      <c r="M28" s="19"/>
      <c r="N28" s="19"/>
      <c r="O28" s="19"/>
      <c r="P28" s="19"/>
      <c r="Q28" s="19"/>
    </row>
    <row r="29" ht="15.75" customHeight="1">
      <c r="A29" s="63">
        <f>COUNTA(A17:A27)</f>
        <v>11</v>
      </c>
      <c r="H29" s="48">
        <f>I29*0.925</f>
        <v>25801.95</v>
      </c>
      <c r="I29" s="49">
        <f>H2-H4-H7</f>
        <v>27894</v>
      </c>
      <c r="J29" s="4"/>
      <c r="K29" s="32"/>
      <c r="L29" s="32"/>
      <c r="M29" s="19"/>
      <c r="N29" s="19"/>
      <c r="O29" s="19"/>
      <c r="P29" s="19"/>
      <c r="Q29" s="19"/>
    </row>
    <row r="30" ht="15.75" customHeight="1">
      <c r="H30" s="50">
        <f>H29-H28</f>
        <v>97.95</v>
      </c>
      <c r="J30" s="4"/>
      <c r="K30" s="4"/>
      <c r="L30" s="4"/>
    </row>
    <row r="31" ht="15.75" customHeight="1">
      <c r="A31" s="51" t="s">
        <v>27</v>
      </c>
      <c r="B31" s="51"/>
      <c r="C31" s="51"/>
      <c r="D31" s="51"/>
      <c r="E31" s="51"/>
      <c r="F31" s="52"/>
      <c r="G31" s="52"/>
      <c r="H31" s="53"/>
      <c r="J31" s="4"/>
      <c r="K31" s="4"/>
      <c r="L31" s="4"/>
    </row>
    <row r="32" ht="15.75" customHeight="1">
      <c r="A32" s="51"/>
      <c r="B32" s="51"/>
      <c r="C32" s="51"/>
      <c r="D32" s="51"/>
      <c r="E32" s="52" t="s">
        <v>9</v>
      </c>
      <c r="F32" s="52" t="s">
        <v>10</v>
      </c>
      <c r="G32" s="52" t="s">
        <v>28</v>
      </c>
      <c r="H32" s="53"/>
      <c r="J32" s="4"/>
      <c r="K32" s="4"/>
      <c r="L32" s="4"/>
    </row>
    <row r="33" ht="15.75" customHeight="1">
      <c r="A33" s="51"/>
      <c r="B33" s="51"/>
      <c r="C33" s="51"/>
      <c r="D33" s="51"/>
      <c r="E33" s="54">
        <f t="shared" ref="E33:F33" si="6">(E12+E28)*1000</f>
        <v>850683.3333</v>
      </c>
      <c r="F33" s="55">
        <f t="shared" si="6"/>
        <v>3840733.333</v>
      </c>
      <c r="G33" s="56">
        <f>(H2/F33)*1000</f>
        <v>13.53908108</v>
      </c>
      <c r="H33" s="53"/>
      <c r="J33" s="4"/>
      <c r="K33" s="4"/>
      <c r="L33" s="4"/>
    </row>
    <row r="34" ht="15.75" customHeight="1">
      <c r="A34" s="4"/>
      <c r="B34" s="60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58"/>
      <c r="C37" s="58"/>
      <c r="D37" s="58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  <tableParts count="1">
    <tablePart r:id="rId3"/>
  </tableParts>
</worksheet>
</file>